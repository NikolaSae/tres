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kolaj\Desktop\Macro test\Izveštaji 2024\NTH Media\12 decembar\Postpaid\"/>
    </mc:Choice>
  </mc:AlternateContent>
  <xr:revisionPtr revIDLastSave="0" documentId="13_ncr:1_{5CBCEF87-725B-45DF-B2AC-C106392EF54D}" xr6:coauthVersionLast="36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01" sheetId="12" r:id="rId1"/>
    <sheet name="02" sheetId="13" r:id="rId2"/>
    <sheet name="03" sheetId="14" r:id="rId3"/>
    <sheet name="04" sheetId="15" r:id="rId4"/>
    <sheet name="05" sheetId="16" r:id="rId5"/>
    <sheet name="06" sheetId="17" r:id="rId6"/>
    <sheet name="07" sheetId="18" r:id="rId7"/>
    <sheet name="08" sheetId="19" r:id="rId8"/>
    <sheet name="09" sheetId="20" r:id="rId9"/>
    <sheet name="11" sheetId="21" r:id="rId10"/>
    <sheet name="12" sheetId="22" r:id="rId11"/>
  </sheets>
  <calcPr calcId="191029"/>
</workbook>
</file>

<file path=xl/calcChain.xml><?xml version="1.0" encoding="utf-8"?>
<calcChain xmlns="http://schemas.openxmlformats.org/spreadsheetml/2006/main">
  <c r="H20" i="22" l="1"/>
  <c r="H16" i="22"/>
  <c r="H12" i="22"/>
  <c r="H8" i="22"/>
  <c r="L19" i="22"/>
  <c r="L17" i="22"/>
  <c r="L15" i="22"/>
  <c r="L14" i="22"/>
  <c r="M13" i="22"/>
  <c r="M16" i="22" s="1"/>
  <c r="L11" i="22"/>
  <c r="L10" i="22"/>
  <c r="L7" i="22"/>
  <c r="L6" i="22"/>
  <c r="M5" i="22"/>
  <c r="M8" i="22" s="1"/>
  <c r="L5" i="22"/>
  <c r="L8" i="22" l="1"/>
  <c r="L18" i="22"/>
  <c r="L20" i="22" s="1"/>
  <c r="L13" i="22"/>
  <c r="L16" i="22" s="1"/>
  <c r="L9" i="22"/>
  <c r="L12" i="22" s="1"/>
  <c r="M9" i="22"/>
  <c r="M12" i="22" s="1"/>
  <c r="M17" i="22"/>
  <c r="M20" i="22" s="1"/>
  <c r="L19" i="21"/>
  <c r="H19" i="21"/>
  <c r="H18" i="21"/>
  <c r="L18" i="21" s="1"/>
  <c r="M17" i="21"/>
  <c r="M20" i="21" s="1"/>
  <c r="L17" i="21"/>
  <c r="L20" i="21" s="1"/>
  <c r="H15" i="21"/>
  <c r="L15" i="21" s="1"/>
  <c r="H14" i="21"/>
  <c r="L14" i="21" s="1"/>
  <c r="H13" i="21"/>
  <c r="M13" i="21" s="1"/>
  <c r="M16" i="21" s="1"/>
  <c r="H12" i="21"/>
  <c r="L11" i="21"/>
  <c r="H11" i="21"/>
  <c r="H10" i="21"/>
  <c r="L10" i="21" s="1"/>
  <c r="H9" i="21"/>
  <c r="M9" i="21" s="1"/>
  <c r="M12" i="21" s="1"/>
  <c r="M8" i="21"/>
  <c r="H8" i="21"/>
  <c r="L7" i="21"/>
  <c r="L6" i="21"/>
  <c r="L8" i="21" s="1"/>
  <c r="M5" i="21"/>
  <c r="L5" i="21"/>
  <c r="L13" i="21" l="1"/>
  <c r="L16" i="21" s="1"/>
  <c r="L9" i="21"/>
  <c r="L12" i="21" s="1"/>
  <c r="H20" i="21"/>
  <c r="H16" i="21"/>
  <c r="L19" i="20"/>
  <c r="H19" i="20"/>
  <c r="H18" i="20"/>
  <c r="H20" i="20" s="1"/>
  <c r="L17" i="20"/>
  <c r="H15" i="20"/>
  <c r="H16" i="20" s="1"/>
  <c r="L14" i="20"/>
  <c r="H14" i="20"/>
  <c r="H13" i="20"/>
  <c r="L13" i="20" s="1"/>
  <c r="H12" i="20"/>
  <c r="L11" i="20"/>
  <c r="H11" i="20"/>
  <c r="L10" i="20"/>
  <c r="H10" i="20"/>
  <c r="H9" i="20"/>
  <c r="L9" i="20" s="1"/>
  <c r="L12" i="20" s="1"/>
  <c r="M8" i="20"/>
  <c r="L8" i="20"/>
  <c r="H8" i="20"/>
  <c r="L7" i="20"/>
  <c r="L6" i="20"/>
  <c r="M5" i="20"/>
  <c r="L5" i="20"/>
  <c r="H19" i="19"/>
  <c r="L19" i="19" s="1"/>
  <c r="H18" i="19"/>
  <c r="H20" i="19" s="1"/>
  <c r="M17" i="19"/>
  <c r="M20" i="19" s="1"/>
  <c r="L17" i="19"/>
  <c r="L15" i="19"/>
  <c r="H15" i="19"/>
  <c r="H14" i="19"/>
  <c r="M13" i="19" s="1"/>
  <c r="M16" i="19" s="1"/>
  <c r="H13" i="19"/>
  <c r="L13" i="19" s="1"/>
  <c r="L11" i="19"/>
  <c r="L10" i="19"/>
  <c r="L12" i="19" s="1"/>
  <c r="H10" i="19"/>
  <c r="H12" i="19" s="1"/>
  <c r="L9" i="19"/>
  <c r="H9" i="19"/>
  <c r="M9" i="19" s="1"/>
  <c r="M12" i="19" s="1"/>
  <c r="M8" i="19"/>
  <c r="H8" i="19"/>
  <c r="L7" i="19"/>
  <c r="L6" i="19"/>
  <c r="M5" i="19"/>
  <c r="L5" i="19"/>
  <c r="L8" i="19" s="1"/>
  <c r="H19" i="18"/>
  <c r="L19" i="18" s="1"/>
  <c r="H18" i="18"/>
  <c r="H20" i="18" s="1"/>
  <c r="L17" i="18"/>
  <c r="M16" i="18"/>
  <c r="H16" i="18"/>
  <c r="L15" i="18"/>
  <c r="H15" i="18"/>
  <c r="L14" i="18"/>
  <c r="H14" i="18"/>
  <c r="M13" i="18"/>
  <c r="L13" i="18"/>
  <c r="L16" i="18" s="1"/>
  <c r="H13" i="18"/>
  <c r="L11" i="18"/>
  <c r="H11" i="18"/>
  <c r="L10" i="18"/>
  <c r="H10" i="18"/>
  <c r="H9" i="18"/>
  <c r="M9" i="18" s="1"/>
  <c r="M12" i="18" s="1"/>
  <c r="M8" i="18"/>
  <c r="H8" i="18"/>
  <c r="L7" i="18"/>
  <c r="L6" i="18"/>
  <c r="L8" i="18" s="1"/>
  <c r="M5" i="18"/>
  <c r="L5" i="18"/>
  <c r="H20" i="17"/>
  <c r="L19" i="17"/>
  <c r="L18" i="17"/>
  <c r="M17" i="17"/>
  <c r="M20" i="17" s="1"/>
  <c r="L17" i="17"/>
  <c r="L20" i="17" s="1"/>
  <c r="L15" i="17"/>
  <c r="H15" i="17"/>
  <c r="H14" i="17"/>
  <c r="L14" i="17" s="1"/>
  <c r="H13" i="17"/>
  <c r="L13" i="17" s="1"/>
  <c r="H11" i="17"/>
  <c r="L11" i="17" s="1"/>
  <c r="H10" i="17"/>
  <c r="L10" i="17" s="1"/>
  <c r="H9" i="17"/>
  <c r="H12" i="17" s="1"/>
  <c r="H8" i="17"/>
  <c r="L7" i="17"/>
  <c r="L6" i="17"/>
  <c r="M5" i="17"/>
  <c r="M8" i="17" s="1"/>
  <c r="L5" i="17"/>
  <c r="L8" i="17" s="1"/>
  <c r="L15" i="16"/>
  <c r="L14" i="16"/>
  <c r="H14" i="16"/>
  <c r="M13" i="16"/>
  <c r="M16" i="16" s="1"/>
  <c r="H13" i="16"/>
  <c r="H16" i="16" s="1"/>
  <c r="M12" i="16"/>
  <c r="H12" i="16"/>
  <c r="L11" i="16"/>
  <c r="H11" i="16"/>
  <c r="L10" i="16"/>
  <c r="H10" i="16"/>
  <c r="M9" i="16"/>
  <c r="L9" i="16"/>
  <c r="L12" i="16" s="1"/>
  <c r="H9" i="16"/>
  <c r="H8" i="16"/>
  <c r="L7" i="16"/>
  <c r="L6" i="16"/>
  <c r="M5" i="16"/>
  <c r="M8" i="16" s="1"/>
  <c r="L5" i="16"/>
  <c r="L8" i="16" s="1"/>
  <c r="H15" i="15"/>
  <c r="L15" i="15" s="1"/>
  <c r="H14" i="15"/>
  <c r="L14" i="15" s="1"/>
  <c r="H13" i="15"/>
  <c r="H16" i="15" s="1"/>
  <c r="H12" i="15"/>
  <c r="H11" i="15"/>
  <c r="L11" i="15" s="1"/>
  <c r="H10" i="15"/>
  <c r="L10" i="15" s="1"/>
  <c r="H9" i="15"/>
  <c r="L9" i="15" s="1"/>
  <c r="L12" i="15" s="1"/>
  <c r="M8" i="15"/>
  <c r="H8" i="15"/>
  <c r="L7" i="15"/>
  <c r="L6" i="15"/>
  <c r="M5" i="15"/>
  <c r="L5" i="15"/>
  <c r="L8" i="15" s="1"/>
  <c r="H15" i="14"/>
  <c r="L15" i="14" s="1"/>
  <c r="H14" i="14"/>
  <c r="L14" i="14" s="1"/>
  <c r="H13" i="14"/>
  <c r="H16" i="14" s="1"/>
  <c r="H11" i="14"/>
  <c r="L11" i="14" s="1"/>
  <c r="L10" i="14"/>
  <c r="H10" i="14"/>
  <c r="H9" i="14"/>
  <c r="H8" i="14"/>
  <c r="L7" i="14"/>
  <c r="L6" i="14"/>
  <c r="M5" i="14"/>
  <c r="M8" i="14" s="1"/>
  <c r="L5" i="14"/>
  <c r="L8" i="14" s="1"/>
  <c r="M13" i="20" l="1"/>
  <c r="M16" i="20" s="1"/>
  <c r="M17" i="20"/>
  <c r="M20" i="20" s="1"/>
  <c r="L18" i="20"/>
  <c r="L20" i="20" s="1"/>
  <c r="L15" i="20"/>
  <c r="L16" i="20" s="1"/>
  <c r="M9" i="20"/>
  <c r="M12" i="20" s="1"/>
  <c r="L14" i="19"/>
  <c r="L16" i="19" s="1"/>
  <c r="L18" i="19"/>
  <c r="L20" i="19" s="1"/>
  <c r="H16" i="19"/>
  <c r="M17" i="18"/>
  <c r="M20" i="18" s="1"/>
  <c r="H12" i="18"/>
  <c r="L18" i="18"/>
  <c r="L20" i="18" s="1"/>
  <c r="L9" i="18"/>
  <c r="L12" i="18" s="1"/>
  <c r="H16" i="17"/>
  <c r="M13" i="17"/>
  <c r="M16" i="17" s="1"/>
  <c r="L16" i="17"/>
  <c r="M9" i="17"/>
  <c r="M12" i="17" s="1"/>
  <c r="L9" i="17"/>
  <c r="L12" i="17" s="1"/>
  <c r="L13" i="16"/>
  <c r="L16" i="16" s="1"/>
  <c r="L13" i="15"/>
  <c r="L16" i="15" s="1"/>
  <c r="M13" i="15"/>
  <c r="M16" i="15" s="1"/>
  <c r="M9" i="15"/>
  <c r="M12" i="15" s="1"/>
  <c r="L13" i="14"/>
  <c r="M13" i="14"/>
  <c r="M16" i="14" s="1"/>
  <c r="H12" i="14"/>
  <c r="L16" i="14"/>
  <c r="L9" i="14"/>
  <c r="L12" i="14" s="1"/>
  <c r="M9" i="14"/>
  <c r="M12" i="14" s="1"/>
  <c r="H15" i="13"/>
  <c r="L15" i="13" s="1"/>
  <c r="H14" i="13"/>
  <c r="L13" i="13"/>
  <c r="H11" i="13"/>
  <c r="L11" i="13" s="1"/>
  <c r="H10" i="13"/>
  <c r="L10" i="13" s="1"/>
  <c r="H9" i="13"/>
  <c r="L9" i="13" s="1"/>
  <c r="H8" i="13"/>
  <c r="L7" i="13"/>
  <c r="L6" i="13"/>
  <c r="M5" i="13"/>
  <c r="M8" i="13" s="1"/>
  <c r="L5" i="13"/>
  <c r="H15" i="12"/>
  <c r="L15" i="12" s="1"/>
  <c r="H14" i="12"/>
  <c r="H16" i="12" s="1"/>
  <c r="L13" i="12"/>
  <c r="L11" i="12"/>
  <c r="H11" i="12"/>
  <c r="H10" i="12"/>
  <c r="H9" i="12"/>
  <c r="L9" i="12" s="1"/>
  <c r="H8" i="12"/>
  <c r="L7" i="12"/>
  <c r="L6" i="12"/>
  <c r="M5" i="12"/>
  <c r="M8" i="12" s="1"/>
  <c r="L5" i="12"/>
  <c r="H16" i="13" l="1"/>
  <c r="L14" i="12"/>
  <c r="L16" i="12" s="1"/>
  <c r="L8" i="13"/>
  <c r="L12" i="13"/>
  <c r="M9" i="12"/>
  <c r="M12" i="12" s="1"/>
  <c r="L10" i="12"/>
  <c r="L12" i="12" s="1"/>
  <c r="L8" i="12"/>
  <c r="M9" i="13"/>
  <c r="M12" i="13" s="1"/>
  <c r="M13" i="13"/>
  <c r="M16" i="13" s="1"/>
  <c r="L14" i="13"/>
  <c r="L16" i="13" s="1"/>
  <c r="H12" i="13"/>
  <c r="M13" i="12"/>
  <c r="M16" i="12" s="1"/>
  <c r="H12" i="12"/>
</calcChain>
</file>

<file path=xl/sharedStrings.xml><?xml version="1.0" encoding="utf-8"?>
<sst xmlns="http://schemas.openxmlformats.org/spreadsheetml/2006/main" count="342" uniqueCount="40">
  <si>
    <t>Kumulativ</t>
  </si>
  <si>
    <t>Telekom Srbija a.d.</t>
  </si>
  <si>
    <t>Operator usluga</t>
  </si>
  <si>
    <t>potpis i pečat Operatora usluga</t>
  </si>
  <si>
    <t>Broj ugovora</t>
  </si>
  <si>
    <t>Tip servisa</t>
  </si>
  <si>
    <t>Mesec fakturisanja</t>
  </si>
  <si>
    <t>Broj transakcija</t>
  </si>
  <si>
    <t>Fakturisan iznos</t>
  </si>
  <si>
    <t>Mesec naplate</t>
  </si>
  <si>
    <t>Iznos za prenos sredstava</t>
  </si>
  <si>
    <t>Nenaplaćen iznos</t>
  </si>
  <si>
    <t>Naplaćen iznos</t>
  </si>
  <si>
    <t>UKUPAN IZNOS TELEKOMA                                        (potrebno fakturisati Operatoru usluga)</t>
  </si>
  <si>
    <t>Direkcija za strategiju i digital</t>
  </si>
  <si>
    <t>Sektor za razvoj digitalnih kanala, digitalnih platformi</t>
  </si>
  <si>
    <t>Služba za razvoj finansijskih servisa i ekosistema plaćanja</t>
  </si>
  <si>
    <t>NTH Media</t>
  </si>
  <si>
    <t>U-268719-13072016: A1-284465/1-2018-11072018 cGate</t>
  </si>
  <si>
    <t>standard cGate NTH 50%-50% cGate</t>
  </si>
  <si>
    <t>U K U P N O</t>
  </si>
  <si>
    <t>U-268719-13072016: A1-284465/1-2018-11072018 DCB</t>
  </si>
  <si>
    <t>standard cGate NTH 50%-50% DCB</t>
  </si>
  <si>
    <t>U-268719-13072016: P2-152167/1-2023-05042023</t>
  </si>
  <si>
    <t>standard ESR live NTH 60%-40%</t>
  </si>
  <si>
    <t>VAS izveštaj - naplaćen postpaid saobraćaj za januar 2024.</t>
  </si>
  <si>
    <t>VAS izveštaj - naplaćen postpaid saobraćaj za februar 2024.</t>
  </si>
  <si>
    <t>VAS izveštaj - naplaćen postpaid saobraćaj za mart  2024.</t>
  </si>
  <si>
    <t>VAS izveštaj - naplaćen postpaid saobraćaj za april  2024.</t>
  </si>
  <si>
    <t>VAS izveštaj - naplaćen postpaid saobraćaj za maj  2024.</t>
  </si>
  <si>
    <t>VAS izveštaj - naplaćen postpaid saobraćaj za jun  2024.</t>
  </si>
  <si>
    <t>apps 70%-30%</t>
  </si>
  <si>
    <t>VAS izveštaj - naplaćen postpaid saobraćaj za jul  2024.</t>
  </si>
  <si>
    <t>VAS izveštaj - naplaćen postpaid saobraćaj za avgust  2024.</t>
  </si>
  <si>
    <t>VAS izveštaj - naplaćen postpaid saobraćaj za septembar  2024.</t>
  </si>
  <si>
    <t>sep.2024</t>
  </si>
  <si>
    <t>okt.2024</t>
  </si>
  <si>
    <t>nov.2024</t>
  </si>
  <si>
    <t>Dec.2024</t>
  </si>
  <si>
    <t>VAS Izveštaj - naplacen postpaid saobracaj za Dec.2024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</si>
</sst>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238"/>
    </font>
    <font>
      <b/>
      <sz val="10"/>
      <name val="Arial"/>
      <family val="2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0" fillId="0" borderId="1" xfId="0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17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right" vertical="center" indent="1"/>
    </xf>
    <xf numFmtId="4" fontId="5" fillId="0" borderId="11" xfId="0" applyNumberFormat="1" applyFont="1" applyBorder="1" applyAlignment="1">
      <alignment horizontal="right" vertical="center"/>
    </xf>
    <xf numFmtId="4" fontId="5" fillId="0" borderId="12" xfId="0" applyNumberFormat="1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right" vertical="center"/>
    </xf>
    <xf numFmtId="4" fontId="5" fillId="0" borderId="8" xfId="0" applyNumberFormat="1" applyFont="1" applyBorder="1" applyAlignment="1">
      <alignment horizontal="right" vertical="center" indent="1"/>
    </xf>
    <xf numFmtId="17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right" vertical="center" indent="1"/>
    </xf>
    <xf numFmtId="4" fontId="5" fillId="0" borderId="19" xfId="0" applyNumberFormat="1" applyFont="1" applyBorder="1" applyAlignment="1">
      <alignment horizontal="right" vertical="center"/>
    </xf>
    <xf numFmtId="4" fontId="5" fillId="0" borderId="20" xfId="0" applyNumberFormat="1" applyFont="1" applyBorder="1" applyAlignment="1">
      <alignment horizontal="right" vertical="center"/>
    </xf>
    <xf numFmtId="4" fontId="5" fillId="0" borderId="21" xfId="0" applyNumberFormat="1" applyFont="1" applyBorder="1" applyAlignment="1">
      <alignment horizontal="right" vertical="center"/>
    </xf>
    <xf numFmtId="4" fontId="5" fillId="0" borderId="20" xfId="0" applyNumberFormat="1" applyFont="1" applyBorder="1" applyAlignment="1">
      <alignment horizontal="right" vertical="center" indent="1"/>
    </xf>
    <xf numFmtId="17" fontId="5" fillId="0" borderId="24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right" vertical="center" indent="1"/>
    </xf>
    <xf numFmtId="4" fontId="5" fillId="0" borderId="26" xfId="0" applyNumberFormat="1" applyFont="1" applyBorder="1" applyAlignment="1">
      <alignment horizontal="right" vertical="center"/>
    </xf>
    <xf numFmtId="4" fontId="5" fillId="0" borderId="27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23" xfId="0" applyNumberFormat="1" applyFont="1" applyBorder="1" applyAlignment="1">
      <alignment horizontal="right" vertical="center" indent="1"/>
    </xf>
    <xf numFmtId="0" fontId="5" fillId="3" borderId="28" xfId="0" applyFont="1" applyFill="1" applyBorder="1" applyAlignment="1">
      <alignment horizontal="center" vertical="center"/>
    </xf>
    <xf numFmtId="3" fontId="5" fillId="3" borderId="29" xfId="0" applyNumberFormat="1" applyFont="1" applyFill="1" applyBorder="1" applyAlignment="1">
      <alignment horizontal="right" vertical="center" indent="1"/>
    </xf>
    <xf numFmtId="4" fontId="5" fillId="3" borderId="30" xfId="0" applyNumberFormat="1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4" fontId="5" fillId="3" borderId="5" xfId="0" applyNumberFormat="1" applyFont="1" applyFill="1" applyBorder="1" applyAlignment="1">
      <alignment horizontal="right" vertical="center"/>
    </xf>
    <xf numFmtId="17" fontId="5" fillId="3" borderId="28" xfId="0" applyNumberFormat="1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horizontal="right" vertical="center" indent="1"/>
    </xf>
    <xf numFmtId="4" fontId="3" fillId="3" borderId="2" xfId="0" applyNumberFormat="1" applyFont="1" applyFill="1" applyBorder="1" applyAlignment="1">
      <alignment horizontal="right" vertical="center" indent="1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Fill="1"/>
    <xf numFmtId="17" fontId="5" fillId="0" borderId="9" xfId="0" applyNumberFormat="1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 indent="1"/>
    </xf>
    <xf numFmtId="4" fontId="5" fillId="0" borderId="11" xfId="0" applyNumberFormat="1" applyFont="1" applyFill="1" applyBorder="1" applyAlignment="1">
      <alignment horizontal="right" vertical="center"/>
    </xf>
    <xf numFmtId="4" fontId="5" fillId="0" borderId="12" xfId="0" applyNumberFormat="1" applyFont="1" applyFill="1" applyBorder="1" applyAlignment="1">
      <alignment horizontal="right" vertical="center"/>
    </xf>
    <xf numFmtId="4" fontId="5" fillId="0" borderId="13" xfId="0" applyNumberFormat="1" applyFont="1" applyFill="1" applyBorder="1" applyAlignment="1">
      <alignment horizontal="right" vertical="center"/>
    </xf>
    <xf numFmtId="4" fontId="5" fillId="0" borderId="8" xfId="0" applyNumberFormat="1" applyFont="1" applyFill="1" applyBorder="1" applyAlignment="1">
      <alignment horizontal="right" vertical="center" indent="1"/>
    </xf>
    <xf numFmtId="17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right" vertical="center" indent="1"/>
    </xf>
    <xf numFmtId="4" fontId="5" fillId="0" borderId="19" xfId="0" applyNumberFormat="1" applyFont="1" applyFill="1" applyBorder="1" applyAlignment="1">
      <alignment horizontal="right" vertical="center"/>
    </xf>
    <xf numFmtId="4" fontId="5" fillId="0" borderId="20" xfId="0" applyNumberFormat="1" applyFont="1" applyFill="1" applyBorder="1" applyAlignment="1">
      <alignment horizontal="right" vertical="center"/>
    </xf>
    <xf numFmtId="4" fontId="5" fillId="0" borderId="21" xfId="0" applyNumberFormat="1" applyFont="1" applyFill="1" applyBorder="1" applyAlignment="1">
      <alignment horizontal="right" vertical="center"/>
    </xf>
    <xf numFmtId="4" fontId="5" fillId="0" borderId="20" xfId="0" applyNumberFormat="1" applyFont="1" applyFill="1" applyBorder="1" applyAlignment="1">
      <alignment horizontal="right" vertical="center" indent="1"/>
    </xf>
    <xf numFmtId="17" fontId="5" fillId="0" borderId="24" xfId="0" applyNumberFormat="1" applyFont="1" applyFill="1" applyBorder="1" applyAlignment="1">
      <alignment horizontal="center" vertical="center"/>
    </xf>
    <xf numFmtId="3" fontId="5" fillId="0" borderId="25" xfId="0" applyNumberFormat="1" applyFont="1" applyFill="1" applyBorder="1" applyAlignment="1">
      <alignment horizontal="right" vertical="center" indent="1"/>
    </xf>
    <xf numFmtId="4" fontId="5" fillId="0" borderId="26" xfId="0" applyNumberFormat="1" applyFont="1" applyFill="1" applyBorder="1" applyAlignment="1">
      <alignment horizontal="right" vertical="center"/>
    </xf>
    <xf numFmtId="4" fontId="5" fillId="0" borderId="27" xfId="0" applyNumberFormat="1" applyFont="1" applyFill="1" applyBorder="1" applyAlignment="1">
      <alignment horizontal="right" vertical="center"/>
    </xf>
    <xf numFmtId="4" fontId="5" fillId="0" borderId="1" xfId="0" applyNumberFormat="1" applyFont="1" applyFill="1" applyBorder="1" applyAlignment="1">
      <alignment horizontal="right" vertical="center"/>
    </xf>
    <xf numFmtId="4" fontId="5" fillId="0" borderId="23" xfId="0" applyNumberFormat="1" applyFont="1" applyFill="1" applyBorder="1" applyAlignment="1">
      <alignment horizontal="right" vertical="center" indent="1"/>
    </xf>
    <xf numFmtId="17" fontId="5" fillId="3" borderId="4" xfId="0" applyNumberFormat="1" applyFont="1" applyFill="1" applyBorder="1" applyAlignment="1">
      <alignment horizontal="center" vertical="center"/>
    </xf>
    <xf numFmtId="17" fontId="5" fillId="3" borderId="28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" fontId="5" fillId="0" borderId="6" xfId="0" applyNumberFormat="1" applyFont="1" applyBorder="1" applyAlignment="1">
      <alignment horizontal="right" vertical="center" indent="1"/>
    </xf>
    <xf numFmtId="4" fontId="5" fillId="0" borderId="14" xfId="0" applyNumberFormat="1" applyFont="1" applyBorder="1" applyAlignment="1">
      <alignment horizontal="right" vertical="center" indent="1"/>
    </xf>
    <xf numFmtId="4" fontId="5" fillId="0" borderId="27" xfId="0" applyNumberFormat="1" applyFont="1" applyBorder="1" applyAlignment="1">
      <alignment horizontal="right" vertical="center" indent="1"/>
    </xf>
    <xf numFmtId="0" fontId="5" fillId="0" borderId="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7" fontId="5" fillId="0" borderId="7" xfId="0" applyNumberFormat="1" applyFont="1" applyBorder="1" applyAlignment="1">
      <alignment horizontal="center" vertical="center"/>
    </xf>
    <xf numFmtId="17" fontId="5" fillId="0" borderId="15" xfId="0" applyNumberFormat="1" applyFont="1" applyBorder="1" applyAlignment="1">
      <alignment horizontal="center" vertical="center"/>
    </xf>
    <xf numFmtId="17" fontId="5" fillId="0" borderId="2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" fontId="5" fillId="0" borderId="6" xfId="0" applyNumberFormat="1" applyFont="1" applyFill="1" applyBorder="1" applyAlignment="1">
      <alignment horizontal="right" vertical="center" indent="1"/>
    </xf>
    <xf numFmtId="4" fontId="5" fillId="0" borderId="14" xfId="0" applyNumberFormat="1" applyFont="1" applyFill="1" applyBorder="1" applyAlignment="1">
      <alignment horizontal="right" vertical="center" indent="1"/>
    </xf>
    <xf numFmtId="4" fontId="5" fillId="0" borderId="27" xfId="0" applyNumberFormat="1" applyFont="1" applyFill="1" applyBorder="1" applyAlignment="1">
      <alignment horizontal="right" vertical="center" inden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17" fontId="5" fillId="0" borderId="7" xfId="0" applyNumberFormat="1" applyFont="1" applyFill="1" applyBorder="1" applyAlignment="1">
      <alignment horizontal="center" vertical="center"/>
    </xf>
    <xf numFmtId="17" fontId="5" fillId="0" borderId="15" xfId="0" applyNumberFormat="1" applyFont="1" applyFill="1" applyBorder="1" applyAlignment="1">
      <alignment horizontal="center" vertical="center"/>
    </xf>
    <xf numFmtId="17" fontId="5" fillId="0" borderId="22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17" fontId="5" fillId="0" borderId="14" xfId="0" applyNumberFormat="1" applyFont="1" applyBorder="1" applyAlignment="1">
      <alignment horizontal="center" vertical="center"/>
    </xf>
    <xf numFmtId="17" fontId="5" fillId="0" borderId="27" xfId="0" applyNumberFormat="1" applyFont="1" applyBorder="1" applyAlignment="1">
      <alignment horizontal="center" vertical="center"/>
    </xf>
    <xf numFmtId="17" fontId="5" fillId="0" borderId="31" xfId="0" applyNumberFormat="1" applyFont="1" applyFill="1" applyBorder="1" applyAlignment="1">
      <alignment horizontal="center" vertical="center"/>
    </xf>
    <xf numFmtId="17" fontId="5" fillId="0" borderId="32" xfId="0" applyNumberFormat="1" applyFont="1" applyFill="1" applyBorder="1" applyAlignment="1">
      <alignment horizontal="center" vertical="center"/>
    </xf>
    <xf numFmtId="17" fontId="5" fillId="0" borderId="6" xfId="0" applyNumberFormat="1" applyFont="1" applyFill="1" applyBorder="1" applyAlignment="1">
      <alignment horizontal="center" vertical="center"/>
    </xf>
    <xf numFmtId="17" fontId="5" fillId="0" borderId="14" xfId="0" applyNumberFormat="1" applyFont="1" applyFill="1" applyBorder="1" applyAlignment="1">
      <alignment horizontal="center" vertical="center"/>
    </xf>
    <xf numFmtId="17" fontId="5" fillId="0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7465-2A79-4FA2-980B-7E6DCD8F211A}">
  <sheetPr codeName="Sheet1">
    <tabColor theme="5" tint="0.79998168889431442"/>
  </sheetPr>
  <dimension ref="B2:M25"/>
  <sheetViews>
    <sheetView workbookViewId="0">
      <selection activeCell="C32" sqref="C32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25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45200</v>
      </c>
      <c r="F5" s="9">
        <v>104</v>
      </c>
      <c r="G5" s="10">
        <v>16200</v>
      </c>
      <c r="H5" s="11">
        <v>0</v>
      </c>
      <c r="I5" s="12">
        <v>16200</v>
      </c>
      <c r="J5" s="11">
        <v>0</v>
      </c>
      <c r="K5" s="66">
        <v>45292</v>
      </c>
      <c r="L5" s="13">
        <f>SUM(H5*1.2)</f>
        <v>0</v>
      </c>
      <c r="M5" s="57">
        <f>SUM(H5:H7)*0.5</f>
        <v>7350</v>
      </c>
    </row>
    <row r="6" spans="2:13" s="7" customFormat="1" ht="14.1" customHeight="1" x14ac:dyDescent="0.2">
      <c r="B6" s="71"/>
      <c r="C6" s="61"/>
      <c r="D6" s="64"/>
      <c r="E6" s="14">
        <v>45231</v>
      </c>
      <c r="F6" s="15">
        <v>110</v>
      </c>
      <c r="G6" s="16">
        <v>17250</v>
      </c>
      <c r="H6" s="17">
        <v>2700</v>
      </c>
      <c r="I6" s="18">
        <v>17250</v>
      </c>
      <c r="J6" s="17">
        <v>0</v>
      </c>
      <c r="K6" s="67"/>
      <c r="L6" s="19">
        <f>SUM(H6*1.2)</f>
        <v>3240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45261</v>
      </c>
      <c r="F7" s="21">
        <v>88</v>
      </c>
      <c r="G7" s="22">
        <v>13800</v>
      </c>
      <c r="H7" s="23">
        <v>12000</v>
      </c>
      <c r="I7" s="24">
        <v>12000</v>
      </c>
      <c r="J7" s="23">
        <v>1800</v>
      </c>
      <c r="K7" s="68"/>
      <c r="L7" s="25">
        <f>SUM(H7*1.2)</f>
        <v>14400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14700</v>
      </c>
      <c r="I8" s="30"/>
      <c r="J8" s="29"/>
      <c r="K8" s="31"/>
      <c r="L8" s="32">
        <f>SUM(L5:L7)</f>
        <v>17640</v>
      </c>
      <c r="M8" s="33">
        <f>SUM(M5:M7)</f>
        <v>7350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45200</v>
      </c>
      <c r="F9" s="9">
        <v>13167</v>
      </c>
      <c r="G9" s="10">
        <v>3609600</v>
      </c>
      <c r="H9" s="11">
        <f>22050-22050</f>
        <v>0</v>
      </c>
      <c r="I9" s="12">
        <v>3513200</v>
      </c>
      <c r="J9" s="11">
        <v>96400</v>
      </c>
      <c r="K9" s="66">
        <v>45292</v>
      </c>
      <c r="L9" s="13">
        <f>SUM(H9*1.2)</f>
        <v>0</v>
      </c>
      <c r="M9" s="57">
        <f>SUM(H9:H11)*0.5</f>
        <v>1331525</v>
      </c>
    </row>
    <row r="10" spans="2:13" s="7" customFormat="1" ht="14.1" customHeight="1" x14ac:dyDescent="0.2">
      <c r="B10" s="71"/>
      <c r="C10" s="61"/>
      <c r="D10" s="64"/>
      <c r="E10" s="14">
        <v>45231</v>
      </c>
      <c r="F10" s="15">
        <v>10985</v>
      </c>
      <c r="G10" s="16">
        <v>3011550</v>
      </c>
      <c r="H10" s="17">
        <f>625250-83550-20300</f>
        <v>521400</v>
      </c>
      <c r="I10" s="18">
        <v>2926350</v>
      </c>
      <c r="J10" s="17">
        <v>85200</v>
      </c>
      <c r="K10" s="67"/>
      <c r="L10" s="19">
        <f>SUM(H10*1.2)</f>
        <v>625680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45261</v>
      </c>
      <c r="F11" s="21">
        <v>9878</v>
      </c>
      <c r="G11" s="22">
        <v>2706500</v>
      </c>
      <c r="H11" s="23">
        <f>2154150-12500</f>
        <v>2141650</v>
      </c>
      <c r="I11" s="24">
        <v>2154150</v>
      </c>
      <c r="J11" s="23">
        <v>552350</v>
      </c>
      <c r="K11" s="68"/>
      <c r="L11" s="25">
        <f>SUM(H11*1.2)</f>
        <v>2569980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2663050</v>
      </c>
      <c r="I12" s="30"/>
      <c r="J12" s="29"/>
      <c r="K12" s="31"/>
      <c r="L12" s="32">
        <f>SUM(L9:L11)</f>
        <v>3195660</v>
      </c>
      <c r="M12" s="33">
        <f>SUM(M9:M11)</f>
        <v>1331525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45200</v>
      </c>
      <c r="F13" s="9">
        <v>734</v>
      </c>
      <c r="G13" s="10">
        <v>305833.34000000003</v>
      </c>
      <c r="H13" s="11">
        <v>2083.33</v>
      </c>
      <c r="I13" s="12">
        <v>298333.34000000003</v>
      </c>
      <c r="J13" s="11">
        <v>7500</v>
      </c>
      <c r="K13" s="66">
        <v>45292</v>
      </c>
      <c r="L13" s="13">
        <f>SUM(H13*1.2)</f>
        <v>2499.9959999999996</v>
      </c>
      <c r="M13" s="57">
        <f>SUM(H13:H15)*0.4</f>
        <v>456166.66400000011</v>
      </c>
    </row>
    <row r="14" spans="2:13" s="7" customFormat="1" ht="14.1" customHeight="1" x14ac:dyDescent="0.2">
      <c r="B14" s="71"/>
      <c r="C14" s="61"/>
      <c r="D14" s="64"/>
      <c r="E14" s="14">
        <v>45231</v>
      </c>
      <c r="F14" s="15">
        <v>1760</v>
      </c>
      <c r="G14" s="16">
        <v>733333.34</v>
      </c>
      <c r="H14" s="17">
        <f>121250-833.34</f>
        <v>120416.66</v>
      </c>
      <c r="I14" s="18">
        <v>690416.67</v>
      </c>
      <c r="J14" s="17">
        <v>42916.67</v>
      </c>
      <c r="K14" s="67"/>
      <c r="L14" s="19">
        <f>SUM(H14*1.2)</f>
        <v>144499.992</v>
      </c>
      <c r="M14" s="58"/>
    </row>
    <row r="15" spans="2:13" s="7" customFormat="1" ht="14.1" customHeight="1" thickBot="1" x14ac:dyDescent="0.25">
      <c r="B15" s="72"/>
      <c r="C15" s="62"/>
      <c r="D15" s="65"/>
      <c r="E15" s="20">
        <v>45261</v>
      </c>
      <c r="F15" s="21">
        <v>3008</v>
      </c>
      <c r="G15" s="22">
        <v>1253333.3400000001</v>
      </c>
      <c r="H15" s="23">
        <f>1018750.01-833.34</f>
        <v>1017916.67</v>
      </c>
      <c r="I15" s="24">
        <v>1018750.01</v>
      </c>
      <c r="J15" s="23">
        <v>234583.34</v>
      </c>
      <c r="K15" s="68"/>
      <c r="L15" s="25">
        <f>SUM(H15*1.2)</f>
        <v>1221500.004</v>
      </c>
      <c r="M15" s="59"/>
    </row>
    <row r="16" spans="2:13" s="7" customFormat="1" ht="13.5" customHeight="1" thickBot="1" x14ac:dyDescent="0.25">
      <c r="B16" s="34"/>
      <c r="C16" s="26"/>
      <c r="D16" s="54" t="s">
        <v>20</v>
      </c>
      <c r="E16" s="55"/>
      <c r="F16" s="27"/>
      <c r="G16" s="28"/>
      <c r="H16" s="29">
        <f>SUM(H13:H15)</f>
        <v>1140416.6600000001</v>
      </c>
      <c r="I16" s="30"/>
      <c r="J16" s="29"/>
      <c r="K16" s="31"/>
      <c r="L16" s="32">
        <f>SUM(L13:L15)</f>
        <v>1368499.9920000001</v>
      </c>
      <c r="M16" s="33">
        <f>SUM(M13:M15)</f>
        <v>456166.66400000011</v>
      </c>
    </row>
    <row r="20" spans="5:12" ht="15" x14ac:dyDescent="0.25">
      <c r="E20" s="1" t="s">
        <v>1</v>
      </c>
    </row>
    <row r="21" spans="5:12" ht="15" x14ac:dyDescent="0.25">
      <c r="E21" s="1" t="s">
        <v>14</v>
      </c>
    </row>
    <row r="22" spans="5:12" ht="15.75" thickBot="1" x14ac:dyDescent="0.3">
      <c r="E22" s="1" t="s">
        <v>15</v>
      </c>
      <c r="J22" s="2"/>
      <c r="K22" s="2"/>
      <c r="L22" s="2"/>
    </row>
    <row r="23" spans="5:12" ht="15" x14ac:dyDescent="0.25">
      <c r="E23" s="1" t="s">
        <v>16</v>
      </c>
      <c r="J23" s="56" t="s">
        <v>3</v>
      </c>
      <c r="K23" s="56"/>
      <c r="L23" s="56"/>
    </row>
    <row r="24" spans="5:12" ht="15" x14ac:dyDescent="0.25">
      <c r="F24" s="1"/>
    </row>
    <row r="25" spans="5:12" ht="15" x14ac:dyDescent="0.25">
      <c r="F25" s="1"/>
    </row>
  </sheetData>
  <mergeCells count="18">
    <mergeCell ref="B2:M2"/>
    <mergeCell ref="B5:B15"/>
    <mergeCell ref="C5:C7"/>
    <mergeCell ref="D5:D7"/>
    <mergeCell ref="K5:K7"/>
    <mergeCell ref="M5:M7"/>
    <mergeCell ref="D8:E8"/>
    <mergeCell ref="C9:C11"/>
    <mergeCell ref="D9:D11"/>
    <mergeCell ref="K9:K11"/>
    <mergeCell ref="D16:E16"/>
    <mergeCell ref="J23:L23"/>
    <mergeCell ref="M9:M11"/>
    <mergeCell ref="D12:E12"/>
    <mergeCell ref="C13:C15"/>
    <mergeCell ref="D13:D15"/>
    <mergeCell ref="K13:K15"/>
    <mergeCell ref="M13:M15"/>
  </mergeCells>
  <pageMargins left="0.7" right="0.7" top="0.75" bottom="0.75" header="0.3" footer="0.3"/>
  <ignoredErrors>
    <ignoredError sqref="L8:L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BF39-40CC-4E06-BB6D-7618C16EC9D0}">
  <sheetPr codeName="Sheet2"/>
  <dimension ref="B2:M25"/>
  <sheetViews>
    <sheetView workbookViewId="0">
      <selection sqref="A1:XFD1048576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26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45231</v>
      </c>
      <c r="F5" s="9">
        <v>110</v>
      </c>
      <c r="G5" s="10">
        <v>17250</v>
      </c>
      <c r="H5" s="11">
        <v>0</v>
      </c>
      <c r="I5" s="12">
        <v>17250</v>
      </c>
      <c r="J5" s="11">
        <v>0</v>
      </c>
      <c r="K5" s="66">
        <v>45323</v>
      </c>
      <c r="L5" s="13">
        <f>SUM(H5*1.2)</f>
        <v>0</v>
      </c>
      <c r="M5" s="57">
        <f>SUM(H5:H7)*0.5</f>
        <v>7200</v>
      </c>
    </row>
    <row r="6" spans="2:13" s="7" customFormat="1" ht="14.1" customHeight="1" x14ac:dyDescent="0.2">
      <c r="B6" s="71"/>
      <c r="C6" s="61"/>
      <c r="D6" s="64"/>
      <c r="E6" s="14">
        <v>45261</v>
      </c>
      <c r="F6" s="15">
        <v>88</v>
      </c>
      <c r="G6" s="16">
        <v>13800</v>
      </c>
      <c r="H6" s="17">
        <v>1800</v>
      </c>
      <c r="I6" s="18">
        <v>13800</v>
      </c>
      <c r="J6" s="17">
        <v>0</v>
      </c>
      <c r="K6" s="67"/>
      <c r="L6" s="19">
        <f>SUM(H6*1.2)</f>
        <v>2160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45292</v>
      </c>
      <c r="F7" s="21">
        <v>99</v>
      </c>
      <c r="G7" s="22">
        <v>15600</v>
      </c>
      <c r="H7" s="23">
        <v>12600</v>
      </c>
      <c r="I7" s="24">
        <v>12600</v>
      </c>
      <c r="J7" s="23">
        <v>3000</v>
      </c>
      <c r="K7" s="68"/>
      <c r="L7" s="25">
        <f>SUM(H7*1.2)</f>
        <v>15120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14400</v>
      </c>
      <c r="I8" s="30"/>
      <c r="J8" s="29"/>
      <c r="K8" s="31"/>
      <c r="L8" s="32">
        <f>SUM(L5:L7)</f>
        <v>17280</v>
      </c>
      <c r="M8" s="33">
        <f>SUM(M5:M7)</f>
        <v>7200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45231</v>
      </c>
      <c r="F9" s="9">
        <v>10985</v>
      </c>
      <c r="G9" s="10">
        <v>3011550</v>
      </c>
      <c r="H9" s="11">
        <f>18700-18700</f>
        <v>0</v>
      </c>
      <c r="I9" s="12">
        <v>2945050</v>
      </c>
      <c r="J9" s="11">
        <v>66500</v>
      </c>
      <c r="K9" s="66">
        <v>45323</v>
      </c>
      <c r="L9" s="13">
        <f>SUM(H9*1.2)</f>
        <v>0</v>
      </c>
      <c r="M9" s="57">
        <f>SUM(H9:H11)*0.5</f>
        <v>1088225</v>
      </c>
    </row>
    <row r="10" spans="2:13" s="7" customFormat="1" ht="14.1" customHeight="1" x14ac:dyDescent="0.2">
      <c r="B10" s="71"/>
      <c r="C10" s="61"/>
      <c r="D10" s="64"/>
      <c r="E10" s="14">
        <v>45261</v>
      </c>
      <c r="F10" s="15">
        <v>9878</v>
      </c>
      <c r="G10" s="16">
        <v>2706500</v>
      </c>
      <c r="H10" s="17">
        <f>480000-83550-15100</f>
        <v>381350</v>
      </c>
      <c r="I10" s="18">
        <v>2634150</v>
      </c>
      <c r="J10" s="17">
        <v>72350</v>
      </c>
      <c r="K10" s="67"/>
      <c r="L10" s="19">
        <f>SUM(H10*1.2)</f>
        <v>457620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45292</v>
      </c>
      <c r="F11" s="21">
        <v>8518</v>
      </c>
      <c r="G11" s="22">
        <v>2335450</v>
      </c>
      <c r="H11" s="23">
        <f>1804700-9600</f>
        <v>1795100</v>
      </c>
      <c r="I11" s="24">
        <v>1804700</v>
      </c>
      <c r="J11" s="23">
        <v>530750</v>
      </c>
      <c r="K11" s="68"/>
      <c r="L11" s="25">
        <f>SUM(H11*1.2)</f>
        <v>2154120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2176450</v>
      </c>
      <c r="I12" s="30"/>
      <c r="J12" s="29"/>
      <c r="K12" s="31"/>
      <c r="L12" s="32">
        <f>SUM(L9:L11)</f>
        <v>2611740</v>
      </c>
      <c r="M12" s="33">
        <f>SUM(M9:M11)</f>
        <v>1088225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45231</v>
      </c>
      <c r="F13" s="9">
        <v>1760</v>
      </c>
      <c r="G13" s="10">
        <v>733333.34</v>
      </c>
      <c r="H13" s="11">
        <v>3333.33</v>
      </c>
      <c r="I13" s="12">
        <v>693750.01</v>
      </c>
      <c r="J13" s="11">
        <v>39583.33</v>
      </c>
      <c r="K13" s="66">
        <v>45323</v>
      </c>
      <c r="L13" s="13">
        <f>SUM(H13*1.2)</f>
        <v>3999.9959999999996</v>
      </c>
      <c r="M13" s="57">
        <f>SUM(H13:H15)*0.4</f>
        <v>590999.99600000004</v>
      </c>
    </row>
    <row r="14" spans="2:13" s="7" customFormat="1" ht="14.1" customHeight="1" x14ac:dyDescent="0.2">
      <c r="B14" s="71"/>
      <c r="C14" s="61"/>
      <c r="D14" s="64"/>
      <c r="E14" s="14">
        <v>45261</v>
      </c>
      <c r="F14" s="15">
        <v>3008</v>
      </c>
      <c r="G14" s="16">
        <v>1253333.3400000001</v>
      </c>
      <c r="H14" s="17">
        <f>196250-416.67</f>
        <v>195833.33</v>
      </c>
      <c r="I14" s="18">
        <v>1215000.01</v>
      </c>
      <c r="J14" s="17">
        <v>38333.33</v>
      </c>
      <c r="K14" s="67"/>
      <c r="L14" s="19">
        <f>SUM(H14*1.2)</f>
        <v>234999.99599999998</v>
      </c>
      <c r="M14" s="58"/>
    </row>
    <row r="15" spans="2:13" s="7" customFormat="1" ht="14.1" customHeight="1" thickBot="1" x14ac:dyDescent="0.25">
      <c r="B15" s="72"/>
      <c r="C15" s="62"/>
      <c r="D15" s="65"/>
      <c r="E15" s="20">
        <v>45292</v>
      </c>
      <c r="F15" s="21">
        <v>3876</v>
      </c>
      <c r="G15" s="22">
        <v>1615000.01</v>
      </c>
      <c r="H15" s="23">
        <f>1279583.34-1250.01</f>
        <v>1278333.33</v>
      </c>
      <c r="I15" s="24">
        <v>1279583.3400000001</v>
      </c>
      <c r="J15" s="23">
        <v>335416.67</v>
      </c>
      <c r="K15" s="68"/>
      <c r="L15" s="25">
        <f>SUM(H15*1.2)</f>
        <v>1533999.996</v>
      </c>
      <c r="M15" s="59"/>
    </row>
    <row r="16" spans="2:13" s="7" customFormat="1" ht="13.5" customHeight="1" thickBot="1" x14ac:dyDescent="0.25">
      <c r="B16" s="34"/>
      <c r="C16" s="26"/>
      <c r="D16" s="54" t="s">
        <v>20</v>
      </c>
      <c r="E16" s="55"/>
      <c r="F16" s="27"/>
      <c r="G16" s="28"/>
      <c r="H16" s="29">
        <f>SUM(H13:H15)</f>
        <v>1477499.99</v>
      </c>
      <c r="I16" s="30"/>
      <c r="J16" s="29"/>
      <c r="K16" s="31"/>
      <c r="L16" s="32">
        <f>SUM(L13:L15)</f>
        <v>1772999.9880000001</v>
      </c>
      <c r="M16" s="33">
        <f>SUM(M13:M15)</f>
        <v>590999.99600000004</v>
      </c>
    </row>
    <row r="20" spans="5:12" ht="15" x14ac:dyDescent="0.25">
      <c r="E20" s="1" t="s">
        <v>1</v>
      </c>
    </row>
    <row r="21" spans="5:12" ht="15" x14ac:dyDescent="0.25">
      <c r="E21" s="1" t="s">
        <v>14</v>
      </c>
    </row>
    <row r="22" spans="5:12" ht="15.75" thickBot="1" x14ac:dyDescent="0.3">
      <c r="E22" s="1" t="s">
        <v>15</v>
      </c>
      <c r="J22" s="2"/>
      <c r="K22" s="2"/>
      <c r="L22" s="2"/>
    </row>
    <row r="23" spans="5:12" ht="15" x14ac:dyDescent="0.25">
      <c r="E23" s="1" t="s">
        <v>16</v>
      </c>
      <c r="J23" s="56" t="s">
        <v>3</v>
      </c>
      <c r="K23" s="56"/>
      <c r="L23" s="56"/>
    </row>
    <row r="24" spans="5:12" ht="15" x14ac:dyDescent="0.25">
      <c r="F24" s="1"/>
    </row>
    <row r="25" spans="5:12" ht="15" x14ac:dyDescent="0.25">
      <c r="F25" s="1"/>
    </row>
  </sheetData>
  <mergeCells count="18">
    <mergeCell ref="B2:M2"/>
    <mergeCell ref="B5:B15"/>
    <mergeCell ref="C5:C7"/>
    <mergeCell ref="D5:D7"/>
    <mergeCell ref="K5:K7"/>
    <mergeCell ref="M5:M7"/>
    <mergeCell ref="D8:E8"/>
    <mergeCell ref="C9:C11"/>
    <mergeCell ref="D9:D11"/>
    <mergeCell ref="K9:K11"/>
    <mergeCell ref="D16:E16"/>
    <mergeCell ref="J23:L23"/>
    <mergeCell ref="M9:M11"/>
    <mergeCell ref="D12:E12"/>
    <mergeCell ref="C13:C15"/>
    <mergeCell ref="D13:D15"/>
    <mergeCell ref="K13:K15"/>
    <mergeCell ref="M13:M15"/>
  </mergeCells>
  <pageMargins left="0.7" right="0.7" top="0.75" bottom="0.75" header="0.3" footer="0.3"/>
  <ignoredErrors>
    <ignoredError sqref="L8:L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73AF-2EBD-4C95-9C56-B6C8B7AEBC14}">
  <sheetPr codeName="Sheet3">
    <tabColor theme="5" tint="0.79998168889431442"/>
  </sheetPr>
  <dimension ref="B2:M25"/>
  <sheetViews>
    <sheetView workbookViewId="0">
      <selection activeCell="B31" sqref="B31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27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35" customFormat="1" ht="14.1" customHeight="1" x14ac:dyDescent="0.2">
      <c r="B5" s="85" t="s">
        <v>17</v>
      </c>
      <c r="C5" s="76" t="s">
        <v>18</v>
      </c>
      <c r="D5" s="79" t="s">
        <v>19</v>
      </c>
      <c r="E5" s="36">
        <v>45261</v>
      </c>
      <c r="F5" s="37">
        <v>88</v>
      </c>
      <c r="G5" s="38">
        <v>13800</v>
      </c>
      <c r="H5" s="39">
        <v>0</v>
      </c>
      <c r="I5" s="40">
        <v>13800</v>
      </c>
      <c r="J5" s="39">
        <v>0</v>
      </c>
      <c r="K5" s="82">
        <v>45352</v>
      </c>
      <c r="L5" s="41">
        <f>SUM(H5*1.2)</f>
        <v>0</v>
      </c>
      <c r="M5" s="73">
        <f>SUM(H5:H7)*0.5</f>
        <v>6750</v>
      </c>
    </row>
    <row r="6" spans="2:13" s="35" customFormat="1" ht="14.1" customHeight="1" x14ac:dyDescent="0.2">
      <c r="B6" s="86"/>
      <c r="C6" s="77"/>
      <c r="D6" s="80"/>
      <c r="E6" s="42">
        <v>45292</v>
      </c>
      <c r="F6" s="43">
        <v>99</v>
      </c>
      <c r="G6" s="44">
        <v>15600</v>
      </c>
      <c r="H6" s="45">
        <v>2250</v>
      </c>
      <c r="I6" s="46">
        <v>14850</v>
      </c>
      <c r="J6" s="45">
        <v>750</v>
      </c>
      <c r="K6" s="83"/>
      <c r="L6" s="47">
        <f>SUM(H6*1.2)</f>
        <v>2700</v>
      </c>
      <c r="M6" s="74"/>
    </row>
    <row r="7" spans="2:13" s="35" customFormat="1" ht="14.1" customHeight="1" thickBot="1" x14ac:dyDescent="0.25">
      <c r="B7" s="86"/>
      <c r="C7" s="78"/>
      <c r="D7" s="81"/>
      <c r="E7" s="48">
        <v>45323</v>
      </c>
      <c r="F7" s="49">
        <v>82</v>
      </c>
      <c r="G7" s="50">
        <v>12900</v>
      </c>
      <c r="H7" s="51">
        <v>11250</v>
      </c>
      <c r="I7" s="52">
        <v>11250</v>
      </c>
      <c r="J7" s="51">
        <v>1650</v>
      </c>
      <c r="K7" s="84"/>
      <c r="L7" s="53">
        <f>SUM(H7*1.2)</f>
        <v>13500</v>
      </c>
      <c r="M7" s="75"/>
    </row>
    <row r="8" spans="2:13" s="7" customFormat="1" ht="13.5" customHeight="1" thickBot="1" x14ac:dyDescent="0.25">
      <c r="B8" s="86"/>
      <c r="C8" s="26"/>
      <c r="D8" s="54" t="s">
        <v>20</v>
      </c>
      <c r="E8" s="55"/>
      <c r="F8" s="27"/>
      <c r="G8" s="28"/>
      <c r="H8" s="29">
        <f>SUM(H5:H7)</f>
        <v>13500</v>
      </c>
      <c r="I8" s="30"/>
      <c r="J8" s="29"/>
      <c r="K8" s="31"/>
      <c r="L8" s="32">
        <f>SUM(L5:L7)</f>
        <v>16200</v>
      </c>
      <c r="M8" s="33">
        <f>SUM(M5:M7)</f>
        <v>6750</v>
      </c>
    </row>
    <row r="9" spans="2:13" s="35" customFormat="1" ht="14.1" customHeight="1" x14ac:dyDescent="0.2">
      <c r="B9" s="86"/>
      <c r="C9" s="76" t="s">
        <v>21</v>
      </c>
      <c r="D9" s="79" t="s">
        <v>22</v>
      </c>
      <c r="E9" s="36">
        <v>45261</v>
      </c>
      <c r="F9" s="37">
        <v>9878</v>
      </c>
      <c r="G9" s="38">
        <v>2706500</v>
      </c>
      <c r="H9" s="39">
        <f>23500-17500</f>
        <v>6000</v>
      </c>
      <c r="I9" s="40">
        <v>2657650</v>
      </c>
      <c r="J9" s="39">
        <v>48850</v>
      </c>
      <c r="K9" s="82">
        <v>45352</v>
      </c>
      <c r="L9" s="41">
        <f>SUM(H9*1.2)</f>
        <v>7200</v>
      </c>
      <c r="M9" s="73">
        <f>SUM(H9:H11)*0.5</f>
        <v>1003550</v>
      </c>
    </row>
    <row r="10" spans="2:13" s="35" customFormat="1" ht="14.1" customHeight="1" x14ac:dyDescent="0.2">
      <c r="B10" s="86"/>
      <c r="C10" s="77"/>
      <c r="D10" s="80"/>
      <c r="E10" s="42">
        <v>45292</v>
      </c>
      <c r="F10" s="43">
        <v>8518</v>
      </c>
      <c r="G10" s="44">
        <v>2335450</v>
      </c>
      <c r="H10" s="45">
        <f>480950-4100</f>
        <v>476850</v>
      </c>
      <c r="I10" s="46">
        <v>2285650</v>
      </c>
      <c r="J10" s="45">
        <v>49800</v>
      </c>
      <c r="K10" s="83"/>
      <c r="L10" s="47">
        <f>SUM(H10*1.2)</f>
        <v>572220</v>
      </c>
      <c r="M10" s="74"/>
    </row>
    <row r="11" spans="2:13" s="35" customFormat="1" ht="14.1" customHeight="1" thickBot="1" x14ac:dyDescent="0.25">
      <c r="B11" s="86"/>
      <c r="C11" s="78"/>
      <c r="D11" s="81"/>
      <c r="E11" s="48">
        <v>45323</v>
      </c>
      <c r="F11" s="49">
        <v>7119</v>
      </c>
      <c r="G11" s="50">
        <v>1952850</v>
      </c>
      <c r="H11" s="51">
        <f>1528000-3750</f>
        <v>1524250</v>
      </c>
      <c r="I11" s="52">
        <v>1528000</v>
      </c>
      <c r="J11" s="51">
        <v>424850</v>
      </c>
      <c r="K11" s="84"/>
      <c r="L11" s="53">
        <f>SUM(H11*1.2)</f>
        <v>1829100</v>
      </c>
      <c r="M11" s="75"/>
    </row>
    <row r="12" spans="2:13" s="7" customFormat="1" ht="13.5" customHeight="1" thickBot="1" x14ac:dyDescent="0.25">
      <c r="B12" s="86"/>
      <c r="C12" s="26"/>
      <c r="D12" s="54" t="s">
        <v>20</v>
      </c>
      <c r="E12" s="55"/>
      <c r="F12" s="27"/>
      <c r="G12" s="28"/>
      <c r="H12" s="29">
        <f>SUM(H9:H11)</f>
        <v>2007100</v>
      </c>
      <c r="I12" s="30"/>
      <c r="J12" s="29"/>
      <c r="K12" s="31"/>
      <c r="L12" s="32">
        <f>SUM(L9:L11)</f>
        <v>2408520</v>
      </c>
      <c r="M12" s="33">
        <f>SUM(M9:M11)</f>
        <v>1003550</v>
      </c>
    </row>
    <row r="13" spans="2:13" s="35" customFormat="1" ht="14.1" customHeight="1" x14ac:dyDescent="0.2">
      <c r="B13" s="86"/>
      <c r="C13" s="76" t="s">
        <v>23</v>
      </c>
      <c r="D13" s="79" t="s">
        <v>24</v>
      </c>
      <c r="E13" s="36">
        <v>45261</v>
      </c>
      <c r="F13" s="37">
        <v>3008</v>
      </c>
      <c r="G13" s="38">
        <v>1253333.3400000001</v>
      </c>
      <c r="H13" s="39">
        <f>10000-833.34</f>
        <v>9166.66</v>
      </c>
      <c r="I13" s="40">
        <v>1225000.01</v>
      </c>
      <c r="J13" s="39">
        <v>28333.33</v>
      </c>
      <c r="K13" s="82">
        <v>45352</v>
      </c>
      <c r="L13" s="41">
        <f>SUM(H13*1.2)</f>
        <v>10999.992</v>
      </c>
      <c r="M13" s="73">
        <f>SUM(H13:H15)*0.4</f>
        <v>612999.99999999988</v>
      </c>
    </row>
    <row r="14" spans="2:13" s="35" customFormat="1" ht="14.1" customHeight="1" x14ac:dyDescent="0.2">
      <c r="B14" s="86"/>
      <c r="C14" s="77"/>
      <c r="D14" s="80"/>
      <c r="E14" s="42">
        <v>45292</v>
      </c>
      <c r="F14" s="43">
        <v>3876</v>
      </c>
      <c r="G14" s="44">
        <v>1615000.01</v>
      </c>
      <c r="H14" s="45">
        <f>287916.67-416.67</f>
        <v>287500</v>
      </c>
      <c r="I14" s="46">
        <v>1567500.01</v>
      </c>
      <c r="J14" s="45">
        <v>47500</v>
      </c>
      <c r="K14" s="83"/>
      <c r="L14" s="47">
        <f>SUM(H14*1.2)</f>
        <v>345000</v>
      </c>
      <c r="M14" s="74"/>
    </row>
    <row r="15" spans="2:13" s="35" customFormat="1" ht="14.1" customHeight="1" thickBot="1" x14ac:dyDescent="0.25">
      <c r="B15" s="87"/>
      <c r="C15" s="78"/>
      <c r="D15" s="81"/>
      <c r="E15" s="48">
        <v>45323</v>
      </c>
      <c r="F15" s="49">
        <v>3710</v>
      </c>
      <c r="G15" s="50">
        <v>1545833.35</v>
      </c>
      <c r="H15" s="51">
        <f>1236666.68-833.34</f>
        <v>1235833.3399999999</v>
      </c>
      <c r="I15" s="52">
        <v>1236666.68</v>
      </c>
      <c r="J15" s="51">
        <v>309166.67</v>
      </c>
      <c r="K15" s="84"/>
      <c r="L15" s="53">
        <f>SUM(H15*1.2)</f>
        <v>1483000.0079999997</v>
      </c>
      <c r="M15" s="75"/>
    </row>
    <row r="16" spans="2:13" s="7" customFormat="1" ht="13.5" customHeight="1" thickBot="1" x14ac:dyDescent="0.25">
      <c r="B16" s="34"/>
      <c r="C16" s="26"/>
      <c r="D16" s="54" t="s">
        <v>20</v>
      </c>
      <c r="E16" s="55"/>
      <c r="F16" s="27"/>
      <c r="G16" s="28"/>
      <c r="H16" s="29">
        <f>SUM(H13:H15)</f>
        <v>1532499.9999999998</v>
      </c>
      <c r="I16" s="30"/>
      <c r="J16" s="29"/>
      <c r="K16" s="31"/>
      <c r="L16" s="32">
        <f>SUM(L13:L15)</f>
        <v>1838999.9999999998</v>
      </c>
      <c r="M16" s="33">
        <f>SUM(M13:M15)</f>
        <v>612999.99999999988</v>
      </c>
    </row>
    <row r="20" spans="5:12" ht="15" x14ac:dyDescent="0.25">
      <c r="E20" s="1" t="s">
        <v>1</v>
      </c>
    </row>
    <row r="21" spans="5:12" ht="15" x14ac:dyDescent="0.25">
      <c r="E21" s="1" t="s">
        <v>14</v>
      </c>
    </row>
    <row r="22" spans="5:12" ht="15.75" thickBot="1" x14ac:dyDescent="0.3">
      <c r="E22" s="1" t="s">
        <v>15</v>
      </c>
      <c r="J22" s="2"/>
      <c r="K22" s="2"/>
      <c r="L22" s="2"/>
    </row>
    <row r="23" spans="5:12" ht="15" x14ac:dyDescent="0.25">
      <c r="E23" s="1" t="s">
        <v>16</v>
      </c>
      <c r="J23" s="56" t="s">
        <v>3</v>
      </c>
      <c r="K23" s="56"/>
      <c r="L23" s="56"/>
    </row>
    <row r="24" spans="5:12" ht="15" x14ac:dyDescent="0.25">
      <c r="F24" s="1"/>
    </row>
    <row r="25" spans="5:12" ht="15" x14ac:dyDescent="0.25">
      <c r="F25" s="1"/>
    </row>
  </sheetData>
  <mergeCells count="18">
    <mergeCell ref="B2:M2"/>
    <mergeCell ref="B5:B15"/>
    <mergeCell ref="C5:C7"/>
    <mergeCell ref="D5:D7"/>
    <mergeCell ref="K5:K7"/>
    <mergeCell ref="M5:M7"/>
    <mergeCell ref="D8:E8"/>
    <mergeCell ref="C9:C11"/>
    <mergeCell ref="D9:D11"/>
    <mergeCell ref="K9:K11"/>
    <mergeCell ref="D16:E16"/>
    <mergeCell ref="J23:L23"/>
    <mergeCell ref="M9:M11"/>
    <mergeCell ref="D12:E12"/>
    <mergeCell ref="C13:C15"/>
    <mergeCell ref="D13:D15"/>
    <mergeCell ref="K13:K15"/>
    <mergeCell ref="M13:M15"/>
  </mergeCells>
  <pageMargins left="0.7" right="0.7" top="0.75" bottom="0.75" header="0.3" footer="0.3"/>
  <ignoredErrors>
    <ignoredError sqref="L8:L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BB76-AEA6-4652-B3A1-DFF3B720A4D5}">
  <sheetPr codeName="Sheet4"/>
  <dimension ref="B2:M25"/>
  <sheetViews>
    <sheetView workbookViewId="0">
      <selection activeCell="B26" sqref="B26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28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45292</v>
      </c>
      <c r="F5" s="9">
        <v>99</v>
      </c>
      <c r="G5" s="10">
        <v>15600</v>
      </c>
      <c r="H5" s="11">
        <v>0</v>
      </c>
      <c r="I5" s="12">
        <v>14850</v>
      </c>
      <c r="J5" s="11">
        <v>750</v>
      </c>
      <c r="K5" s="66">
        <v>45383</v>
      </c>
      <c r="L5" s="13">
        <f>SUM(H5*1.2)</f>
        <v>0</v>
      </c>
      <c r="M5" s="57">
        <f>SUM(H5:H7)*0.5</f>
        <v>6375</v>
      </c>
    </row>
    <row r="6" spans="2:13" s="7" customFormat="1" ht="14.1" customHeight="1" x14ac:dyDescent="0.2">
      <c r="B6" s="71"/>
      <c r="C6" s="61"/>
      <c r="D6" s="64"/>
      <c r="E6" s="14">
        <v>45323</v>
      </c>
      <c r="F6" s="15">
        <v>82</v>
      </c>
      <c r="G6" s="16">
        <v>12900</v>
      </c>
      <c r="H6" s="17">
        <v>1650</v>
      </c>
      <c r="I6" s="18">
        <v>12900</v>
      </c>
      <c r="J6" s="17">
        <v>0</v>
      </c>
      <c r="K6" s="67"/>
      <c r="L6" s="19">
        <f>SUM(H6*1.2)</f>
        <v>1980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45352</v>
      </c>
      <c r="F7" s="21">
        <v>78</v>
      </c>
      <c r="G7" s="22">
        <v>12300</v>
      </c>
      <c r="H7" s="23">
        <v>11100</v>
      </c>
      <c r="I7" s="24">
        <v>11100</v>
      </c>
      <c r="J7" s="23">
        <v>1200</v>
      </c>
      <c r="K7" s="68"/>
      <c r="L7" s="25">
        <f>SUM(H7*1.2)</f>
        <v>13320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12750</v>
      </c>
      <c r="I8" s="30"/>
      <c r="J8" s="29"/>
      <c r="K8" s="31"/>
      <c r="L8" s="32">
        <f>SUM(L5:L7)</f>
        <v>15300</v>
      </c>
      <c r="M8" s="33">
        <f>SUM(M5:M7)</f>
        <v>6375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45292</v>
      </c>
      <c r="F9" s="9">
        <v>8518</v>
      </c>
      <c r="G9" s="10">
        <v>2335450</v>
      </c>
      <c r="H9" s="11">
        <f>14100-14100</f>
        <v>0</v>
      </c>
      <c r="I9" s="12">
        <v>2299750</v>
      </c>
      <c r="J9" s="11">
        <v>35700</v>
      </c>
      <c r="K9" s="66">
        <v>45383</v>
      </c>
      <c r="L9" s="13">
        <f>SUM(H9*1.2)</f>
        <v>0</v>
      </c>
      <c r="M9" s="57">
        <f>SUM(H9:H11)*0.5</f>
        <v>936925</v>
      </c>
    </row>
    <row r="10" spans="2:13" s="7" customFormat="1" ht="14.1" customHeight="1" x14ac:dyDescent="0.2">
      <c r="B10" s="71"/>
      <c r="C10" s="61"/>
      <c r="D10" s="64"/>
      <c r="E10" s="14">
        <v>45323</v>
      </c>
      <c r="F10" s="15">
        <v>7119</v>
      </c>
      <c r="G10" s="16">
        <v>1952850</v>
      </c>
      <c r="H10" s="17">
        <f>387900-45400-7100</f>
        <v>335400</v>
      </c>
      <c r="I10" s="18">
        <v>1915900</v>
      </c>
      <c r="J10" s="17">
        <v>36950</v>
      </c>
      <c r="K10" s="67"/>
      <c r="L10" s="19">
        <f>SUM(H10*1.2)</f>
        <v>402480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45352</v>
      </c>
      <c r="F11" s="21">
        <v>6990</v>
      </c>
      <c r="G11" s="22">
        <v>1918350</v>
      </c>
      <c r="H11" s="23">
        <f>1539950-1500</f>
        <v>1538450</v>
      </c>
      <c r="I11" s="24">
        <v>1539950</v>
      </c>
      <c r="J11" s="23">
        <v>378400</v>
      </c>
      <c r="K11" s="68"/>
      <c r="L11" s="25">
        <f>SUM(H11*1.2)</f>
        <v>1846140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1873850</v>
      </c>
      <c r="I12" s="30"/>
      <c r="J12" s="29"/>
      <c r="K12" s="31"/>
      <c r="L12" s="32">
        <f>SUM(L9:L11)</f>
        <v>2248620</v>
      </c>
      <c r="M12" s="33">
        <f>SUM(M9:M11)</f>
        <v>936925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45292</v>
      </c>
      <c r="F13" s="9">
        <v>3876</v>
      </c>
      <c r="G13" s="10">
        <v>1615000.01</v>
      </c>
      <c r="H13" s="11">
        <f>15000-416.67</f>
        <v>14583.33</v>
      </c>
      <c r="I13" s="12">
        <v>1582500.01</v>
      </c>
      <c r="J13" s="11">
        <v>32500</v>
      </c>
      <c r="K13" s="66">
        <v>45383</v>
      </c>
      <c r="L13" s="13">
        <f>SUM(H13*1.2)</f>
        <v>17499.995999999999</v>
      </c>
      <c r="M13" s="57">
        <f>SUM(H13:H15)*0.4</f>
        <v>641500</v>
      </c>
    </row>
    <row r="14" spans="2:13" s="7" customFormat="1" ht="14.1" customHeight="1" x14ac:dyDescent="0.2">
      <c r="B14" s="71"/>
      <c r="C14" s="61"/>
      <c r="D14" s="64"/>
      <c r="E14" s="14">
        <v>45323</v>
      </c>
      <c r="F14" s="15">
        <v>3710</v>
      </c>
      <c r="G14" s="16">
        <v>1545833.35</v>
      </c>
      <c r="H14" s="17">
        <f>272083.34-416.67</f>
        <v>271666.67000000004</v>
      </c>
      <c r="I14" s="18">
        <v>1508750.01</v>
      </c>
      <c r="J14" s="17">
        <v>37083.33</v>
      </c>
      <c r="K14" s="67"/>
      <c r="L14" s="19">
        <f>SUM(H14*1.2)</f>
        <v>326000.00400000002</v>
      </c>
      <c r="M14" s="58"/>
    </row>
    <row r="15" spans="2:13" s="7" customFormat="1" ht="14.1" customHeight="1" thickBot="1" x14ac:dyDescent="0.25">
      <c r="B15" s="72"/>
      <c r="C15" s="62"/>
      <c r="D15" s="65"/>
      <c r="E15" s="20">
        <v>45352</v>
      </c>
      <c r="F15" s="21">
        <v>3920</v>
      </c>
      <c r="G15" s="22">
        <v>1633333.35</v>
      </c>
      <c r="H15" s="23">
        <f>1318333.34-833.34</f>
        <v>1317500</v>
      </c>
      <c r="I15" s="24">
        <v>1318333.3400000001</v>
      </c>
      <c r="J15" s="23">
        <v>315000</v>
      </c>
      <c r="K15" s="68"/>
      <c r="L15" s="25">
        <f>SUM(H15*1.2)</f>
        <v>1581000</v>
      </c>
      <c r="M15" s="59"/>
    </row>
    <row r="16" spans="2:13" s="7" customFormat="1" ht="13.5" customHeight="1" thickBot="1" x14ac:dyDescent="0.25">
      <c r="B16" s="34"/>
      <c r="C16" s="26"/>
      <c r="D16" s="54" t="s">
        <v>20</v>
      </c>
      <c r="E16" s="55"/>
      <c r="F16" s="27"/>
      <c r="G16" s="28"/>
      <c r="H16" s="29">
        <f>SUM(H13:H15)</f>
        <v>1603750</v>
      </c>
      <c r="I16" s="30"/>
      <c r="J16" s="29"/>
      <c r="K16" s="31"/>
      <c r="L16" s="32">
        <f>SUM(L13:L15)</f>
        <v>1924500</v>
      </c>
      <c r="M16" s="33">
        <f>SUM(M13:M15)</f>
        <v>641500</v>
      </c>
    </row>
    <row r="20" spans="5:12" ht="15" x14ac:dyDescent="0.25">
      <c r="E20" s="1" t="s">
        <v>1</v>
      </c>
    </row>
    <row r="21" spans="5:12" ht="15" x14ac:dyDescent="0.25">
      <c r="E21" s="1" t="s">
        <v>14</v>
      </c>
    </row>
    <row r="22" spans="5:12" ht="15.75" thickBot="1" x14ac:dyDescent="0.3">
      <c r="E22" s="1" t="s">
        <v>15</v>
      </c>
      <c r="J22" s="2"/>
      <c r="K22" s="2"/>
      <c r="L22" s="2"/>
    </row>
    <row r="23" spans="5:12" ht="15" x14ac:dyDescent="0.25">
      <c r="E23" s="1" t="s">
        <v>16</v>
      </c>
      <c r="J23" s="56" t="s">
        <v>3</v>
      </c>
      <c r="K23" s="56"/>
      <c r="L23" s="56"/>
    </row>
    <row r="24" spans="5:12" ht="15" x14ac:dyDescent="0.25">
      <c r="F24" s="1"/>
    </row>
    <row r="25" spans="5:12" ht="15" x14ac:dyDescent="0.25">
      <c r="F25" s="1"/>
    </row>
  </sheetData>
  <mergeCells count="18">
    <mergeCell ref="B2:M2"/>
    <mergeCell ref="B5:B15"/>
    <mergeCell ref="C5:C7"/>
    <mergeCell ref="D5:D7"/>
    <mergeCell ref="K5:K7"/>
    <mergeCell ref="M5:M7"/>
    <mergeCell ref="D8:E8"/>
    <mergeCell ref="C9:C11"/>
    <mergeCell ref="D9:D11"/>
    <mergeCell ref="K9:K11"/>
    <mergeCell ref="D16:E16"/>
    <mergeCell ref="J23:L23"/>
    <mergeCell ref="M9:M11"/>
    <mergeCell ref="D12:E12"/>
    <mergeCell ref="C13:C15"/>
    <mergeCell ref="D13:D15"/>
    <mergeCell ref="K13:K15"/>
    <mergeCell ref="M13:M15"/>
  </mergeCells>
  <pageMargins left="0.7" right="0.7" top="0.75" bottom="0.75" header="0.3" footer="0.3"/>
  <ignoredErrors>
    <ignoredError sqref="L8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E688-E06D-454A-909F-5B7A71956DC7}">
  <sheetPr codeName="Sheet5">
    <tabColor theme="5" tint="0.79998168889431442"/>
  </sheetPr>
  <dimension ref="B2:M25"/>
  <sheetViews>
    <sheetView workbookViewId="0">
      <selection activeCell="C26" sqref="C26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29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45323</v>
      </c>
      <c r="F5" s="9">
        <v>82</v>
      </c>
      <c r="G5" s="10">
        <v>12900</v>
      </c>
      <c r="H5" s="11">
        <v>0</v>
      </c>
      <c r="I5" s="12">
        <v>12900</v>
      </c>
      <c r="J5" s="11">
        <v>0</v>
      </c>
      <c r="K5" s="66">
        <v>45413</v>
      </c>
      <c r="L5" s="13">
        <f>SUM(H5*1.2)</f>
        <v>0</v>
      </c>
      <c r="M5" s="57">
        <f>SUM(H5:H7)*0.5</f>
        <v>5850</v>
      </c>
    </row>
    <row r="6" spans="2:13" s="7" customFormat="1" ht="14.1" customHeight="1" x14ac:dyDescent="0.2">
      <c r="B6" s="71"/>
      <c r="C6" s="61"/>
      <c r="D6" s="64"/>
      <c r="E6" s="14">
        <v>45352</v>
      </c>
      <c r="F6" s="15">
        <v>78</v>
      </c>
      <c r="G6" s="16">
        <v>12300</v>
      </c>
      <c r="H6" s="17">
        <v>1200</v>
      </c>
      <c r="I6" s="18">
        <v>12300</v>
      </c>
      <c r="J6" s="17">
        <v>0</v>
      </c>
      <c r="K6" s="67"/>
      <c r="L6" s="19">
        <f>SUM(H6*1.2)</f>
        <v>1440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45383</v>
      </c>
      <c r="F7" s="21">
        <v>74</v>
      </c>
      <c r="G7" s="22">
        <v>11550</v>
      </c>
      <c r="H7" s="23">
        <v>10500</v>
      </c>
      <c r="I7" s="24">
        <v>10500</v>
      </c>
      <c r="J7" s="23">
        <v>1050</v>
      </c>
      <c r="K7" s="68"/>
      <c r="L7" s="25">
        <f>SUM(H7*1.2)</f>
        <v>12600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11700</v>
      </c>
      <c r="I8" s="30"/>
      <c r="J8" s="29"/>
      <c r="K8" s="31"/>
      <c r="L8" s="32">
        <f>SUM(L5:L7)</f>
        <v>14040</v>
      </c>
      <c r="M8" s="33">
        <f>SUM(M5:M7)</f>
        <v>5850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45323</v>
      </c>
      <c r="F9" s="9">
        <v>7119</v>
      </c>
      <c r="G9" s="10">
        <v>1952850</v>
      </c>
      <c r="H9" s="11">
        <f>11100-10500</f>
        <v>600</v>
      </c>
      <c r="I9" s="12">
        <v>1927000</v>
      </c>
      <c r="J9" s="11">
        <v>25850</v>
      </c>
      <c r="K9" s="66">
        <v>45413</v>
      </c>
      <c r="L9" s="13">
        <f>SUM(H9*1.2)</f>
        <v>720</v>
      </c>
      <c r="M9" s="57">
        <f>SUM(H9:H11)*0.5</f>
        <v>820975</v>
      </c>
    </row>
    <row r="10" spans="2:13" s="7" customFormat="1" ht="14.1" customHeight="1" x14ac:dyDescent="0.2">
      <c r="B10" s="71"/>
      <c r="C10" s="61"/>
      <c r="D10" s="64"/>
      <c r="E10" s="14">
        <v>45352</v>
      </c>
      <c r="F10" s="15">
        <v>6990</v>
      </c>
      <c r="G10" s="16">
        <v>1918350</v>
      </c>
      <c r="H10" s="17">
        <f>327550-1200</f>
        <v>326350</v>
      </c>
      <c r="I10" s="18">
        <v>1867500</v>
      </c>
      <c r="J10" s="17">
        <v>50850</v>
      </c>
      <c r="K10" s="67"/>
      <c r="L10" s="19">
        <f>SUM(H10*1.2)</f>
        <v>391620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45383</v>
      </c>
      <c r="F11" s="21">
        <v>6089</v>
      </c>
      <c r="G11" s="22">
        <v>1669400</v>
      </c>
      <c r="H11" s="23">
        <f>1316950-1950</f>
        <v>1315000</v>
      </c>
      <c r="I11" s="24">
        <v>1316950</v>
      </c>
      <c r="J11" s="23">
        <v>352450</v>
      </c>
      <c r="K11" s="68"/>
      <c r="L11" s="25">
        <f>SUM(H11*1.2)</f>
        <v>1578000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1641950</v>
      </c>
      <c r="I12" s="30"/>
      <c r="J12" s="29"/>
      <c r="K12" s="31"/>
      <c r="L12" s="32">
        <f>SUM(L9:L11)</f>
        <v>1970340</v>
      </c>
      <c r="M12" s="33">
        <f>SUM(M9:M11)</f>
        <v>820975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45323</v>
      </c>
      <c r="F13" s="9">
        <v>3710</v>
      </c>
      <c r="G13" s="10">
        <v>1545833.35</v>
      </c>
      <c r="H13" s="11">
        <f>11250-416.67</f>
        <v>10833.33</v>
      </c>
      <c r="I13" s="12">
        <v>1520000.01</v>
      </c>
      <c r="J13" s="11">
        <v>25833.33</v>
      </c>
      <c r="K13" s="66">
        <v>45413</v>
      </c>
      <c r="L13" s="13">
        <f>SUM(H13*1.2)</f>
        <v>12999.995999999999</v>
      </c>
      <c r="M13" s="57">
        <f>SUM(H13:H15)*0.4</f>
        <v>716666.67200000014</v>
      </c>
    </row>
    <row r="14" spans="2:13" s="7" customFormat="1" ht="14.1" customHeight="1" x14ac:dyDescent="0.2">
      <c r="B14" s="71"/>
      <c r="C14" s="61"/>
      <c r="D14" s="64"/>
      <c r="E14" s="14">
        <v>45352</v>
      </c>
      <c r="F14" s="15">
        <v>3920</v>
      </c>
      <c r="G14" s="16">
        <v>1633333.35</v>
      </c>
      <c r="H14" s="17">
        <f>274166.67-416.67</f>
        <v>273750</v>
      </c>
      <c r="I14" s="18">
        <v>1592500.01</v>
      </c>
      <c r="J14" s="17">
        <v>40833.33</v>
      </c>
      <c r="K14" s="67"/>
      <c r="L14" s="19">
        <f>SUM(H14*1.2)</f>
        <v>328500</v>
      </c>
      <c r="M14" s="58"/>
    </row>
    <row r="15" spans="2:13" s="7" customFormat="1" ht="14.1" customHeight="1" thickBot="1" x14ac:dyDescent="0.25">
      <c r="B15" s="72"/>
      <c r="C15" s="62"/>
      <c r="D15" s="65"/>
      <c r="E15" s="20">
        <v>45383</v>
      </c>
      <c r="F15" s="21">
        <v>4611</v>
      </c>
      <c r="G15" s="22">
        <v>1921250.02</v>
      </c>
      <c r="H15" s="23">
        <v>1507083.35</v>
      </c>
      <c r="I15" s="24">
        <v>1507083.35</v>
      </c>
      <c r="J15" s="23">
        <v>414166.67</v>
      </c>
      <c r="K15" s="68"/>
      <c r="L15" s="25">
        <f>SUM(H15*1.2)</f>
        <v>1808500.02</v>
      </c>
      <c r="M15" s="59"/>
    </row>
    <row r="16" spans="2:13" s="7" customFormat="1" ht="13.5" customHeight="1" thickBot="1" x14ac:dyDescent="0.25">
      <c r="B16" s="34"/>
      <c r="C16" s="26"/>
      <c r="D16" s="54" t="s">
        <v>20</v>
      </c>
      <c r="E16" s="55"/>
      <c r="F16" s="27"/>
      <c r="G16" s="28"/>
      <c r="H16" s="29">
        <f>SUM(H13:H15)</f>
        <v>1791666.6800000002</v>
      </c>
      <c r="I16" s="30"/>
      <c r="J16" s="29"/>
      <c r="K16" s="31"/>
      <c r="L16" s="32">
        <f>SUM(L13:L15)</f>
        <v>2150000.0159999998</v>
      </c>
      <c r="M16" s="33">
        <f>SUM(M13:M15)</f>
        <v>716666.67200000014</v>
      </c>
    </row>
    <row r="20" spans="5:12" ht="15" x14ac:dyDescent="0.25">
      <c r="E20" s="1" t="s">
        <v>1</v>
      </c>
    </row>
    <row r="21" spans="5:12" ht="15" x14ac:dyDescent="0.25">
      <c r="E21" s="1" t="s">
        <v>14</v>
      </c>
    </row>
    <row r="22" spans="5:12" ht="15.75" thickBot="1" x14ac:dyDescent="0.3">
      <c r="E22" s="1" t="s">
        <v>15</v>
      </c>
      <c r="J22" s="2"/>
      <c r="K22" s="2"/>
      <c r="L22" s="2"/>
    </row>
    <row r="23" spans="5:12" ht="15" x14ac:dyDescent="0.25">
      <c r="E23" s="1" t="s">
        <v>16</v>
      </c>
      <c r="J23" s="56" t="s">
        <v>3</v>
      </c>
      <c r="K23" s="56"/>
      <c r="L23" s="56"/>
    </row>
    <row r="24" spans="5:12" ht="15" x14ac:dyDescent="0.25">
      <c r="F24" s="1"/>
    </row>
    <row r="25" spans="5:12" ht="15" x14ac:dyDescent="0.25">
      <c r="F25" s="1"/>
    </row>
  </sheetData>
  <mergeCells count="18">
    <mergeCell ref="D16:E16"/>
    <mergeCell ref="J23:L23"/>
    <mergeCell ref="M9:M11"/>
    <mergeCell ref="D12:E12"/>
    <mergeCell ref="C13:C15"/>
    <mergeCell ref="D13:D15"/>
    <mergeCell ref="K13:K15"/>
    <mergeCell ref="M13:M15"/>
    <mergeCell ref="B2:M2"/>
    <mergeCell ref="B5:B15"/>
    <mergeCell ref="C5:C7"/>
    <mergeCell ref="D5:D7"/>
    <mergeCell ref="K5:K7"/>
    <mergeCell ref="M5:M7"/>
    <mergeCell ref="D8:E8"/>
    <mergeCell ref="C9:C11"/>
    <mergeCell ref="D9:D11"/>
    <mergeCell ref="K9:K11"/>
  </mergeCells>
  <pageMargins left="0.7" right="0.7" top="0.75" bottom="0.75" header="0.3" footer="0.3"/>
  <ignoredErrors>
    <ignoredError sqref="L8:L1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4624-717B-40F4-A871-59FA60AB3DC2}">
  <sheetPr codeName="Sheet6"/>
  <dimension ref="B2:M29"/>
  <sheetViews>
    <sheetView workbookViewId="0">
      <selection activeCell="C27" sqref="C27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45352</v>
      </c>
      <c r="F5" s="9">
        <v>78</v>
      </c>
      <c r="G5" s="10">
        <v>12300</v>
      </c>
      <c r="H5" s="11">
        <v>0</v>
      </c>
      <c r="I5" s="12">
        <v>12300</v>
      </c>
      <c r="J5" s="11">
        <v>0</v>
      </c>
      <c r="K5" s="66">
        <v>45444</v>
      </c>
      <c r="L5" s="13">
        <f>SUM(H5*1.2)</f>
        <v>0</v>
      </c>
      <c r="M5" s="57">
        <f>SUM(H5:H7)*0.5</f>
        <v>6825</v>
      </c>
    </row>
    <row r="6" spans="2:13" s="7" customFormat="1" ht="14.1" customHeight="1" x14ac:dyDescent="0.2">
      <c r="B6" s="71"/>
      <c r="C6" s="61"/>
      <c r="D6" s="64"/>
      <c r="E6" s="14">
        <v>45383</v>
      </c>
      <c r="F6" s="15">
        <v>74</v>
      </c>
      <c r="G6" s="16">
        <v>11550</v>
      </c>
      <c r="H6" s="17">
        <v>1050</v>
      </c>
      <c r="I6" s="18">
        <v>11550</v>
      </c>
      <c r="J6" s="17">
        <v>0</v>
      </c>
      <c r="K6" s="67"/>
      <c r="L6" s="19">
        <f>SUM(H6*1.2)</f>
        <v>1260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45413</v>
      </c>
      <c r="F7" s="21">
        <v>93</v>
      </c>
      <c r="G7" s="22">
        <v>14700</v>
      </c>
      <c r="H7" s="23">
        <v>12600</v>
      </c>
      <c r="I7" s="24">
        <v>12600</v>
      </c>
      <c r="J7" s="23">
        <v>2100</v>
      </c>
      <c r="K7" s="68"/>
      <c r="L7" s="25">
        <f>SUM(H7*1.2)</f>
        <v>15120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13650</v>
      </c>
      <c r="I8" s="30"/>
      <c r="J8" s="29"/>
      <c r="K8" s="31"/>
      <c r="L8" s="32">
        <f>SUM(L5:L7)</f>
        <v>16380</v>
      </c>
      <c r="M8" s="33">
        <f>SUM(M5:M7)</f>
        <v>6825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45352</v>
      </c>
      <c r="F9" s="9">
        <v>6990</v>
      </c>
      <c r="G9" s="10">
        <v>1918350</v>
      </c>
      <c r="H9" s="11">
        <f>18700-18700</f>
        <v>0</v>
      </c>
      <c r="I9" s="12">
        <v>1886200</v>
      </c>
      <c r="J9" s="11">
        <v>32150</v>
      </c>
      <c r="K9" s="66">
        <v>45444</v>
      </c>
      <c r="L9" s="13">
        <f>SUM(H9*1.2)</f>
        <v>0</v>
      </c>
      <c r="M9" s="57">
        <f>SUM(H9:H11)*0.5</f>
        <v>738725</v>
      </c>
    </row>
    <row r="10" spans="2:13" s="7" customFormat="1" ht="14.1" customHeight="1" x14ac:dyDescent="0.2">
      <c r="B10" s="71"/>
      <c r="C10" s="61"/>
      <c r="D10" s="64"/>
      <c r="E10" s="14">
        <v>45383</v>
      </c>
      <c r="F10" s="15">
        <v>6089</v>
      </c>
      <c r="G10" s="16">
        <v>1669400</v>
      </c>
      <c r="H10" s="17">
        <f>314150-57400-5600</f>
        <v>251150</v>
      </c>
      <c r="I10" s="18">
        <v>1631100</v>
      </c>
      <c r="J10" s="17">
        <v>38300</v>
      </c>
      <c r="K10" s="67"/>
      <c r="L10" s="19">
        <f>SUM(H10*1.2)</f>
        <v>301380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45413</v>
      </c>
      <c r="F11" s="21">
        <v>5796</v>
      </c>
      <c r="G11" s="22">
        <v>1588750</v>
      </c>
      <c r="H11" s="23">
        <f>1227500-1200</f>
        <v>1226300</v>
      </c>
      <c r="I11" s="24">
        <v>1227500</v>
      </c>
      <c r="J11" s="23">
        <v>361250</v>
      </c>
      <c r="K11" s="68"/>
      <c r="L11" s="25">
        <f>SUM(H11*1.2)</f>
        <v>1471560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1477450</v>
      </c>
      <c r="I12" s="30"/>
      <c r="J12" s="29"/>
      <c r="K12" s="31"/>
      <c r="L12" s="32">
        <f>SUM(L9:L11)</f>
        <v>1772940</v>
      </c>
      <c r="M12" s="33">
        <f>SUM(M9:M11)</f>
        <v>738725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45352</v>
      </c>
      <c r="F13" s="9">
        <v>3920</v>
      </c>
      <c r="G13" s="10">
        <v>1633333.35</v>
      </c>
      <c r="H13" s="11">
        <f>12916.67-416.67</f>
        <v>12500</v>
      </c>
      <c r="I13" s="12">
        <v>1605416.68</v>
      </c>
      <c r="J13" s="11">
        <v>27916.67</v>
      </c>
      <c r="K13" s="66">
        <v>45444</v>
      </c>
      <c r="L13" s="13">
        <f>SUM(H13*1.2)</f>
        <v>15000</v>
      </c>
      <c r="M13" s="57">
        <f>SUM(H13:H15)*0.4</f>
        <v>751500.00000000012</v>
      </c>
    </row>
    <row r="14" spans="2:13" s="7" customFormat="1" ht="14.1" customHeight="1" x14ac:dyDescent="0.2">
      <c r="B14" s="71"/>
      <c r="C14" s="61"/>
      <c r="D14" s="64"/>
      <c r="E14" s="14">
        <v>45383</v>
      </c>
      <c r="F14" s="15">
        <v>4611</v>
      </c>
      <c r="G14" s="16">
        <v>1921250.02</v>
      </c>
      <c r="H14" s="17">
        <f>318333.34-1250.01</f>
        <v>317083.33</v>
      </c>
      <c r="I14" s="18">
        <v>1825416.68</v>
      </c>
      <c r="J14" s="17">
        <v>95833.33</v>
      </c>
      <c r="K14" s="67"/>
      <c r="L14" s="19">
        <f>SUM(H14*1.2)</f>
        <v>380499.99599999998</v>
      </c>
      <c r="M14" s="58"/>
    </row>
    <row r="15" spans="2:13" s="7" customFormat="1" ht="14.1" customHeight="1" thickBot="1" x14ac:dyDescent="0.25">
      <c r="B15" s="71"/>
      <c r="C15" s="62"/>
      <c r="D15" s="65"/>
      <c r="E15" s="20">
        <v>45413</v>
      </c>
      <c r="F15" s="21">
        <v>4801</v>
      </c>
      <c r="G15" s="22">
        <v>2000416.68</v>
      </c>
      <c r="H15" s="23">
        <f>1550833.35-1666.68</f>
        <v>1549166.6700000002</v>
      </c>
      <c r="I15" s="24">
        <v>1550833.35</v>
      </c>
      <c r="J15" s="23">
        <v>449583.34</v>
      </c>
      <c r="K15" s="68"/>
      <c r="L15" s="25">
        <f>SUM(H15*1.2)</f>
        <v>1859000.0040000002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1878750.0000000002</v>
      </c>
      <c r="I16" s="30"/>
      <c r="J16" s="29"/>
      <c r="K16" s="31"/>
      <c r="L16" s="32">
        <f>SUM(L13:L15)</f>
        <v>2254500</v>
      </c>
      <c r="M16" s="33">
        <f>SUM(M13:M15)</f>
        <v>751500.00000000012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8">
        <v>45352</v>
      </c>
      <c r="F17" s="9">
        <v>0</v>
      </c>
      <c r="G17" s="10">
        <v>0</v>
      </c>
      <c r="H17" s="11">
        <v>0</v>
      </c>
      <c r="I17" s="12">
        <v>0</v>
      </c>
      <c r="J17" s="11">
        <v>0</v>
      </c>
      <c r="K17" s="66">
        <v>45444</v>
      </c>
      <c r="L17" s="13">
        <f>SUM(H17*1.2)</f>
        <v>0</v>
      </c>
      <c r="M17" s="57">
        <f>SUM(H17:H19)*0.3</f>
        <v>1125</v>
      </c>
    </row>
    <row r="18" spans="2:13" s="7" customFormat="1" ht="14.1" customHeight="1" x14ac:dyDescent="0.2">
      <c r="B18" s="71"/>
      <c r="C18" s="61"/>
      <c r="D18" s="64"/>
      <c r="E18" s="14">
        <v>45383</v>
      </c>
      <c r="F18" s="15">
        <v>0</v>
      </c>
      <c r="G18" s="16">
        <v>0</v>
      </c>
      <c r="H18" s="17">
        <v>0</v>
      </c>
      <c r="I18" s="18">
        <v>0</v>
      </c>
      <c r="J18" s="17">
        <v>0</v>
      </c>
      <c r="K18" s="67"/>
      <c r="L18" s="19">
        <f>SUM(H18*1.2)</f>
        <v>0</v>
      </c>
      <c r="M18" s="58"/>
    </row>
    <row r="19" spans="2:13" s="7" customFormat="1" ht="14.1" customHeight="1" thickBot="1" x14ac:dyDescent="0.25">
      <c r="B19" s="72"/>
      <c r="C19" s="62"/>
      <c r="D19" s="65"/>
      <c r="E19" s="20">
        <v>45413</v>
      </c>
      <c r="F19" s="21">
        <v>10</v>
      </c>
      <c r="G19" s="22">
        <v>4166.67</v>
      </c>
      <c r="H19" s="23">
        <v>3750</v>
      </c>
      <c r="I19" s="24">
        <v>3750</v>
      </c>
      <c r="J19" s="23">
        <v>416.67</v>
      </c>
      <c r="K19" s="68"/>
      <c r="L19" s="25">
        <f>SUM(H19*1.2)</f>
        <v>4500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3750</v>
      </c>
      <c r="I20" s="30"/>
      <c r="J20" s="29"/>
      <c r="K20" s="31"/>
      <c r="L20" s="32">
        <f>SUM(L17:L19)</f>
        <v>4500</v>
      </c>
      <c r="M20" s="33">
        <f>SUM(M17:M19)</f>
        <v>1125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B2:M2"/>
    <mergeCell ref="C5:C7"/>
    <mergeCell ref="D5:D7"/>
    <mergeCell ref="K5:K7"/>
    <mergeCell ref="M5:M7"/>
    <mergeCell ref="M9:M11"/>
    <mergeCell ref="M13:M15"/>
    <mergeCell ref="K17:K19"/>
    <mergeCell ref="M17:M19"/>
    <mergeCell ref="D20:E20"/>
    <mergeCell ref="D9:D11"/>
    <mergeCell ref="K9:K11"/>
    <mergeCell ref="J27:L27"/>
    <mergeCell ref="B5:B19"/>
    <mergeCell ref="D12:E12"/>
    <mergeCell ref="C13:C15"/>
    <mergeCell ref="D13:D15"/>
    <mergeCell ref="K13:K15"/>
    <mergeCell ref="D16:E16"/>
    <mergeCell ref="C17:C19"/>
    <mergeCell ref="D17:D19"/>
    <mergeCell ref="D8:E8"/>
    <mergeCell ref="C9:C11"/>
  </mergeCells>
  <pageMargins left="0.7" right="0.7" top="0.75" bottom="0.75" header="0.3" footer="0.3"/>
  <ignoredErrors>
    <ignoredError sqref="L8:L1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682C-3949-4C0B-B2F6-DAE0097B5571}">
  <sheetPr codeName="Sheet7">
    <tabColor theme="5" tint="0.79998168889431442"/>
  </sheetPr>
  <dimension ref="B2:M29"/>
  <sheetViews>
    <sheetView workbookViewId="0">
      <selection activeCell="D32" sqref="D32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45383</v>
      </c>
      <c r="F5" s="9">
        <v>74</v>
      </c>
      <c r="G5" s="10">
        <v>11550</v>
      </c>
      <c r="H5" s="11">
        <v>0</v>
      </c>
      <c r="I5" s="12">
        <v>11550</v>
      </c>
      <c r="J5" s="11">
        <v>0</v>
      </c>
      <c r="K5" s="66">
        <v>45474</v>
      </c>
      <c r="L5" s="13">
        <f>SUM(H5*1.2)</f>
        <v>0</v>
      </c>
      <c r="M5" s="57">
        <f>SUM(H5:H7)*0.5</f>
        <v>5925</v>
      </c>
    </row>
    <row r="6" spans="2:13" s="7" customFormat="1" ht="14.1" customHeight="1" x14ac:dyDescent="0.2">
      <c r="B6" s="71"/>
      <c r="C6" s="61"/>
      <c r="D6" s="64"/>
      <c r="E6" s="14">
        <v>45413</v>
      </c>
      <c r="F6" s="15">
        <v>93</v>
      </c>
      <c r="G6" s="16">
        <v>14700</v>
      </c>
      <c r="H6" s="17">
        <v>1350</v>
      </c>
      <c r="I6" s="18">
        <v>13950</v>
      </c>
      <c r="J6" s="17">
        <v>750</v>
      </c>
      <c r="K6" s="67"/>
      <c r="L6" s="19">
        <f>SUM(H6*1.2)</f>
        <v>1620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45444</v>
      </c>
      <c r="F7" s="21">
        <v>78</v>
      </c>
      <c r="G7" s="22">
        <v>12300</v>
      </c>
      <c r="H7" s="23">
        <v>10500</v>
      </c>
      <c r="I7" s="24">
        <v>10500</v>
      </c>
      <c r="J7" s="23">
        <v>1800</v>
      </c>
      <c r="K7" s="68"/>
      <c r="L7" s="25">
        <f>SUM(H7*1.2)</f>
        <v>12600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11850</v>
      </c>
      <c r="I8" s="30"/>
      <c r="J8" s="29"/>
      <c r="K8" s="31"/>
      <c r="L8" s="32">
        <f>SUM(L5:L7)</f>
        <v>14220</v>
      </c>
      <c r="M8" s="33">
        <f>SUM(M5:M7)</f>
        <v>5925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45383</v>
      </c>
      <c r="F9" s="9">
        <v>6089</v>
      </c>
      <c r="G9" s="10">
        <v>1669400</v>
      </c>
      <c r="H9" s="11">
        <f>13700-13700</f>
        <v>0</v>
      </c>
      <c r="I9" s="12">
        <v>1644800</v>
      </c>
      <c r="J9" s="11">
        <v>24600</v>
      </c>
      <c r="K9" s="66">
        <v>45474</v>
      </c>
      <c r="L9" s="13">
        <f>SUM(H9*1.2)</f>
        <v>0</v>
      </c>
      <c r="M9" s="57">
        <f>SUM(H9:H11)*0.5</f>
        <v>720200</v>
      </c>
    </row>
    <row r="10" spans="2:13" s="7" customFormat="1" ht="14.1" customHeight="1" x14ac:dyDescent="0.2">
      <c r="B10" s="71"/>
      <c r="C10" s="61"/>
      <c r="D10" s="64"/>
      <c r="E10" s="14">
        <v>45413</v>
      </c>
      <c r="F10" s="15">
        <v>5796</v>
      </c>
      <c r="G10" s="16">
        <v>1588750</v>
      </c>
      <c r="H10" s="17">
        <f>334950-8800-3400</f>
        <v>322750</v>
      </c>
      <c r="I10" s="18">
        <v>1562450</v>
      </c>
      <c r="J10" s="17">
        <v>26300</v>
      </c>
      <c r="K10" s="67"/>
      <c r="L10" s="19">
        <f>SUM(H10*1.2)</f>
        <v>387300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45444</v>
      </c>
      <c r="F11" s="21">
        <v>5283</v>
      </c>
      <c r="G11" s="22">
        <v>1447150</v>
      </c>
      <c r="H11" s="23">
        <f>1120650-3000</f>
        <v>1117650</v>
      </c>
      <c r="I11" s="24">
        <v>1120650</v>
      </c>
      <c r="J11" s="23">
        <v>326500</v>
      </c>
      <c r="K11" s="68"/>
      <c r="L11" s="25">
        <f>SUM(H11*1.2)</f>
        <v>1341180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1440400</v>
      </c>
      <c r="I12" s="30"/>
      <c r="J12" s="29"/>
      <c r="K12" s="31"/>
      <c r="L12" s="32">
        <f>SUM(L9:L11)</f>
        <v>1728480</v>
      </c>
      <c r="M12" s="33">
        <f>SUM(M9:M11)</f>
        <v>720200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45383</v>
      </c>
      <c r="F13" s="9">
        <v>4611</v>
      </c>
      <c r="G13" s="10">
        <v>1921250.02</v>
      </c>
      <c r="H13" s="11">
        <f>16250-6250.05</f>
        <v>9999.9500000000007</v>
      </c>
      <c r="I13" s="12">
        <v>1841666.68</v>
      </c>
      <c r="J13" s="11">
        <v>79583.33</v>
      </c>
      <c r="K13" s="66">
        <v>45474</v>
      </c>
      <c r="L13" s="13">
        <f>SUM(H13*1.2)</f>
        <v>11999.94</v>
      </c>
      <c r="M13" s="57">
        <f>SUM(H13:H15)*0.4</f>
        <v>902333.3</v>
      </c>
    </row>
    <row r="14" spans="2:13" s="7" customFormat="1" ht="14.1" customHeight="1" x14ac:dyDescent="0.2">
      <c r="B14" s="71"/>
      <c r="C14" s="61"/>
      <c r="D14" s="64"/>
      <c r="E14" s="14">
        <v>45413</v>
      </c>
      <c r="F14" s="15">
        <v>4801</v>
      </c>
      <c r="G14" s="16">
        <v>2000416.68</v>
      </c>
      <c r="H14" s="17">
        <f>387916.67-3750.03</f>
        <v>384166.63999999996</v>
      </c>
      <c r="I14" s="18">
        <v>1938750.02</v>
      </c>
      <c r="J14" s="17">
        <v>61666.67</v>
      </c>
      <c r="K14" s="67"/>
      <c r="L14" s="19">
        <f>SUM(H14*1.2)</f>
        <v>460999.96799999994</v>
      </c>
      <c r="M14" s="58"/>
    </row>
    <row r="15" spans="2:13" s="7" customFormat="1" ht="14.1" customHeight="1" thickBot="1" x14ac:dyDescent="0.25">
      <c r="B15" s="71"/>
      <c r="C15" s="62"/>
      <c r="D15" s="65"/>
      <c r="E15" s="20">
        <v>45444</v>
      </c>
      <c r="F15" s="21">
        <v>5608</v>
      </c>
      <c r="G15" s="22">
        <v>2336666.69</v>
      </c>
      <c r="H15" s="23">
        <f>1864166.68-2500.02</f>
        <v>1861666.66</v>
      </c>
      <c r="I15" s="24">
        <v>1864166.68</v>
      </c>
      <c r="J15" s="23">
        <v>472500</v>
      </c>
      <c r="K15" s="68"/>
      <c r="L15" s="25">
        <f>SUM(H15*1.2)</f>
        <v>2233999.9919999996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2255833.25</v>
      </c>
      <c r="I16" s="30"/>
      <c r="J16" s="29"/>
      <c r="K16" s="31"/>
      <c r="L16" s="32">
        <f>SUM(L13:L15)</f>
        <v>2706999.8999999994</v>
      </c>
      <c r="M16" s="33">
        <f>SUM(M13:M15)</f>
        <v>902333.3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8">
        <v>45383</v>
      </c>
      <c r="F17" s="9">
        <v>0</v>
      </c>
      <c r="G17" s="10">
        <v>0</v>
      </c>
      <c r="H17" s="11">
        <v>0</v>
      </c>
      <c r="I17" s="12">
        <v>0</v>
      </c>
      <c r="J17" s="11">
        <v>0</v>
      </c>
      <c r="K17" s="66">
        <v>45474</v>
      </c>
      <c r="L17" s="13">
        <f>SUM(H17*1.2)</f>
        <v>0</v>
      </c>
      <c r="M17" s="57">
        <f>SUM(H17:H19)*0.3</f>
        <v>52999.998</v>
      </c>
    </row>
    <row r="18" spans="2:13" s="7" customFormat="1" ht="14.1" customHeight="1" x14ac:dyDescent="0.2">
      <c r="B18" s="71"/>
      <c r="C18" s="61"/>
      <c r="D18" s="64"/>
      <c r="E18" s="14">
        <v>45413</v>
      </c>
      <c r="F18" s="15">
        <v>10</v>
      </c>
      <c r="G18" s="16">
        <v>4166.67</v>
      </c>
      <c r="H18" s="17">
        <f>416.67-416.67</f>
        <v>0</v>
      </c>
      <c r="I18" s="18">
        <v>4166.67</v>
      </c>
      <c r="J18" s="17">
        <v>0</v>
      </c>
      <c r="K18" s="67"/>
      <c r="L18" s="19">
        <f>SUM(H18*1.2)</f>
        <v>0</v>
      </c>
      <c r="M18" s="58"/>
    </row>
    <row r="19" spans="2:13" s="7" customFormat="1" ht="14.1" customHeight="1" thickBot="1" x14ac:dyDescent="0.25">
      <c r="B19" s="72"/>
      <c r="C19" s="62"/>
      <c r="D19" s="65"/>
      <c r="E19" s="20">
        <v>45444</v>
      </c>
      <c r="F19" s="21">
        <v>513</v>
      </c>
      <c r="G19" s="22">
        <v>213750</v>
      </c>
      <c r="H19" s="23">
        <f>177500-833.34</f>
        <v>176666.66</v>
      </c>
      <c r="I19" s="24">
        <v>177500</v>
      </c>
      <c r="J19" s="23">
        <v>36250</v>
      </c>
      <c r="K19" s="68"/>
      <c r="L19" s="25">
        <f>SUM(H19*1.2)</f>
        <v>211999.992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176666.66</v>
      </c>
      <c r="I20" s="30"/>
      <c r="J20" s="29"/>
      <c r="K20" s="31"/>
      <c r="L20" s="32">
        <f>SUM(L17:L19)</f>
        <v>211999.992</v>
      </c>
      <c r="M20" s="33">
        <f>SUM(M17:M19)</f>
        <v>52999.998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M13:M15"/>
    <mergeCell ref="J27:L27"/>
    <mergeCell ref="D16:E16"/>
    <mergeCell ref="C17:C19"/>
    <mergeCell ref="D17:D19"/>
    <mergeCell ref="K17:K19"/>
    <mergeCell ref="D20:E20"/>
    <mergeCell ref="B2:M2"/>
    <mergeCell ref="B5:B19"/>
    <mergeCell ref="C5:C7"/>
    <mergeCell ref="D5:D7"/>
    <mergeCell ref="K5:K7"/>
    <mergeCell ref="M5:M7"/>
    <mergeCell ref="D8:E8"/>
    <mergeCell ref="C9:C11"/>
    <mergeCell ref="D9:D11"/>
    <mergeCell ref="K9:K11"/>
    <mergeCell ref="M17:M19"/>
    <mergeCell ref="M9:M11"/>
    <mergeCell ref="D12:E12"/>
    <mergeCell ref="C13:C15"/>
    <mergeCell ref="D13:D15"/>
    <mergeCell ref="K13:K15"/>
  </mergeCells>
  <pageMargins left="0.7" right="0.7" top="0.75" bottom="0.75" header="0.3" footer="0.3"/>
  <ignoredErrors>
    <ignoredError sqref="L8:L2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32F1-11A6-4933-97EA-5BA89323CA3C}">
  <sheetPr codeName="Sheet8"/>
  <dimension ref="B2:M29"/>
  <sheetViews>
    <sheetView workbookViewId="0">
      <selection activeCell="C25" sqref="C25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45413</v>
      </c>
      <c r="F5" s="9">
        <v>93</v>
      </c>
      <c r="G5" s="10">
        <v>14700</v>
      </c>
      <c r="H5" s="11">
        <v>0</v>
      </c>
      <c r="I5" s="12">
        <v>13950</v>
      </c>
      <c r="J5" s="11">
        <v>750</v>
      </c>
      <c r="K5" s="66">
        <v>45505</v>
      </c>
      <c r="L5" s="13">
        <f>SUM(H5*1.2)</f>
        <v>0</v>
      </c>
      <c r="M5" s="57">
        <f>SUM(H5:H7)*0.5</f>
        <v>7425</v>
      </c>
    </row>
    <row r="6" spans="2:13" s="7" customFormat="1" ht="14.1" customHeight="1" x14ac:dyDescent="0.2">
      <c r="B6" s="71"/>
      <c r="C6" s="61"/>
      <c r="D6" s="64"/>
      <c r="E6" s="14">
        <v>45444</v>
      </c>
      <c r="F6" s="15">
        <v>78</v>
      </c>
      <c r="G6" s="16">
        <v>12300</v>
      </c>
      <c r="H6" s="17">
        <v>1800</v>
      </c>
      <c r="I6" s="18">
        <v>12300</v>
      </c>
      <c r="J6" s="17">
        <v>0</v>
      </c>
      <c r="K6" s="67"/>
      <c r="L6" s="19">
        <f>SUM(H6*1.2)</f>
        <v>2160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45474</v>
      </c>
      <c r="F7" s="21">
        <v>97</v>
      </c>
      <c r="G7" s="22">
        <v>15300</v>
      </c>
      <c r="H7" s="23">
        <v>13050</v>
      </c>
      <c r="I7" s="24">
        <v>13050</v>
      </c>
      <c r="J7" s="23">
        <v>2250</v>
      </c>
      <c r="K7" s="68"/>
      <c r="L7" s="25">
        <f>SUM(H7*1.2)</f>
        <v>15660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14850</v>
      </c>
      <c r="I8" s="30"/>
      <c r="J8" s="29"/>
      <c r="K8" s="31"/>
      <c r="L8" s="32">
        <f>SUM(L5:L7)</f>
        <v>17820</v>
      </c>
      <c r="M8" s="33">
        <f>SUM(M5:M7)</f>
        <v>7425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45413</v>
      </c>
      <c r="F9" s="9">
        <v>5796</v>
      </c>
      <c r="G9" s="10">
        <v>1588750</v>
      </c>
      <c r="H9" s="11">
        <f>9400-9400</f>
        <v>0</v>
      </c>
      <c r="I9" s="12">
        <v>1571850</v>
      </c>
      <c r="J9" s="11">
        <v>16900</v>
      </c>
      <c r="K9" s="66">
        <v>45505</v>
      </c>
      <c r="L9" s="13">
        <f>SUM(H9*1.2)</f>
        <v>0</v>
      </c>
      <c r="M9" s="57">
        <f>SUM(H9:H11)*0.5</f>
        <v>678000</v>
      </c>
    </row>
    <row r="10" spans="2:13" s="7" customFormat="1" ht="14.1" customHeight="1" x14ac:dyDescent="0.2">
      <c r="B10" s="71"/>
      <c r="C10" s="61"/>
      <c r="D10" s="64"/>
      <c r="E10" s="14">
        <v>45444</v>
      </c>
      <c r="F10" s="15">
        <v>5283</v>
      </c>
      <c r="G10" s="16">
        <v>1447150</v>
      </c>
      <c r="H10" s="17">
        <f>306250-3800-3200</f>
        <v>299250</v>
      </c>
      <c r="I10" s="18">
        <v>1426900</v>
      </c>
      <c r="J10" s="17">
        <v>20250</v>
      </c>
      <c r="K10" s="67"/>
      <c r="L10" s="19">
        <f>SUM(H10*1.2)</f>
        <v>359100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45474</v>
      </c>
      <c r="F11" s="21">
        <v>4988</v>
      </c>
      <c r="G11" s="22">
        <v>1366400</v>
      </c>
      <c r="H11" s="23">
        <v>1056750</v>
      </c>
      <c r="I11" s="24">
        <v>1056750</v>
      </c>
      <c r="J11" s="23">
        <v>309650</v>
      </c>
      <c r="K11" s="68"/>
      <c r="L11" s="25">
        <f>SUM(H11*1.2)</f>
        <v>1268100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1356000</v>
      </c>
      <c r="I12" s="30"/>
      <c r="J12" s="29"/>
      <c r="K12" s="31"/>
      <c r="L12" s="32">
        <f>SUM(L9:L11)</f>
        <v>1627200</v>
      </c>
      <c r="M12" s="33">
        <f>SUM(M9:M11)</f>
        <v>678000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45413</v>
      </c>
      <c r="F13" s="9">
        <v>4801</v>
      </c>
      <c r="G13" s="10">
        <v>2000416.68</v>
      </c>
      <c r="H13" s="11">
        <f>19583.33-833.34</f>
        <v>18749.990000000002</v>
      </c>
      <c r="I13" s="12">
        <v>1958333.35</v>
      </c>
      <c r="J13" s="11">
        <v>42083.33</v>
      </c>
      <c r="K13" s="66">
        <v>45505</v>
      </c>
      <c r="L13" s="13">
        <f>SUM(H13*1.2)</f>
        <v>22499.988000000001</v>
      </c>
      <c r="M13" s="57">
        <f>SUM(H13:H15)*0.4</f>
        <v>814333.32000000007</v>
      </c>
    </row>
    <row r="14" spans="2:13" s="7" customFormat="1" ht="14.1" customHeight="1" x14ac:dyDescent="0.2">
      <c r="B14" s="71"/>
      <c r="C14" s="61"/>
      <c r="D14" s="64"/>
      <c r="E14" s="14">
        <v>45444</v>
      </c>
      <c r="F14" s="15">
        <v>5608</v>
      </c>
      <c r="G14" s="16">
        <v>2336666.69</v>
      </c>
      <c r="H14" s="17">
        <f>413750-1250.01</f>
        <v>412499.99</v>
      </c>
      <c r="I14" s="18">
        <v>2277916.6800000002</v>
      </c>
      <c r="J14" s="17">
        <v>58750</v>
      </c>
      <c r="K14" s="67"/>
      <c r="L14" s="19">
        <f>SUM(H14*1.2)</f>
        <v>494999.98799999995</v>
      </c>
      <c r="M14" s="58"/>
    </row>
    <row r="15" spans="2:13" s="7" customFormat="1" ht="14.1" customHeight="1" thickBot="1" x14ac:dyDescent="0.25">
      <c r="B15" s="71"/>
      <c r="C15" s="62"/>
      <c r="D15" s="65"/>
      <c r="E15" s="20">
        <v>45474</v>
      </c>
      <c r="F15" s="21">
        <v>4795</v>
      </c>
      <c r="G15" s="22">
        <v>1997916.68</v>
      </c>
      <c r="H15" s="23">
        <f>1607500.01-2916.69</f>
        <v>1604583.32</v>
      </c>
      <c r="I15" s="24">
        <v>1607500.01</v>
      </c>
      <c r="J15" s="23">
        <v>390416.67</v>
      </c>
      <c r="K15" s="68"/>
      <c r="L15" s="25">
        <f>SUM(H15*1.2)</f>
        <v>1925499.9839999999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2035833.3</v>
      </c>
      <c r="I16" s="30"/>
      <c r="J16" s="29"/>
      <c r="K16" s="31"/>
      <c r="L16" s="32">
        <f>SUM(L13:L15)</f>
        <v>2442999.96</v>
      </c>
      <c r="M16" s="33">
        <f>SUM(M13:M15)</f>
        <v>814333.32000000007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8">
        <v>45413</v>
      </c>
      <c r="F17" s="9">
        <v>10</v>
      </c>
      <c r="G17" s="10">
        <v>4166.67</v>
      </c>
      <c r="H17" s="11">
        <v>0</v>
      </c>
      <c r="I17" s="12">
        <v>4166.67</v>
      </c>
      <c r="J17" s="11">
        <v>0</v>
      </c>
      <c r="K17" s="66">
        <v>45505</v>
      </c>
      <c r="L17" s="13">
        <f>SUM(H17*1.2)</f>
        <v>0</v>
      </c>
      <c r="M17" s="57">
        <f>SUM(H17:H19)*0.3</f>
        <v>145427.74799999999</v>
      </c>
    </row>
    <row r="18" spans="2:13" s="7" customFormat="1" ht="14.1" customHeight="1" x14ac:dyDescent="0.2">
      <c r="B18" s="71"/>
      <c r="C18" s="61"/>
      <c r="D18" s="64"/>
      <c r="E18" s="14">
        <v>45444</v>
      </c>
      <c r="F18" s="15">
        <v>513</v>
      </c>
      <c r="G18" s="16">
        <v>213750</v>
      </c>
      <c r="H18" s="17">
        <f>29583.33-416.67</f>
        <v>29166.660000000003</v>
      </c>
      <c r="I18" s="18">
        <v>207083.33</v>
      </c>
      <c r="J18" s="17">
        <v>6666.67</v>
      </c>
      <c r="K18" s="67"/>
      <c r="L18" s="19">
        <f>SUM(H18*1.2)</f>
        <v>34999.992000000006</v>
      </c>
      <c r="M18" s="58"/>
    </row>
    <row r="19" spans="2:13" s="7" customFormat="1" ht="14.1" customHeight="1" thickBot="1" x14ac:dyDescent="0.25">
      <c r="B19" s="72"/>
      <c r="C19" s="62"/>
      <c r="D19" s="65"/>
      <c r="E19" s="20">
        <v>45474</v>
      </c>
      <c r="F19" s="21">
        <v>1407</v>
      </c>
      <c r="G19" s="22">
        <v>557655</v>
      </c>
      <c r="H19" s="23">
        <f>456009.17-416.67</f>
        <v>455592.5</v>
      </c>
      <c r="I19" s="24">
        <v>456009.17</v>
      </c>
      <c r="J19" s="23">
        <v>101645.83</v>
      </c>
      <c r="K19" s="68"/>
      <c r="L19" s="25">
        <f>SUM(H19*1.2)</f>
        <v>546711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484759.16000000003</v>
      </c>
      <c r="I20" s="30"/>
      <c r="J20" s="29"/>
      <c r="K20" s="31"/>
      <c r="L20" s="32">
        <f>SUM(L17:L19)</f>
        <v>581710.99199999997</v>
      </c>
      <c r="M20" s="33">
        <f>SUM(M17:M19)</f>
        <v>145427.74799999999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B2:M2"/>
    <mergeCell ref="B5:B19"/>
    <mergeCell ref="C5:C7"/>
    <mergeCell ref="D5:D7"/>
    <mergeCell ref="K5:K7"/>
    <mergeCell ref="M5:M7"/>
    <mergeCell ref="D8:E8"/>
    <mergeCell ref="C9:C11"/>
    <mergeCell ref="D9:D11"/>
    <mergeCell ref="K9:K11"/>
    <mergeCell ref="M17:M19"/>
    <mergeCell ref="M9:M11"/>
    <mergeCell ref="D12:E12"/>
    <mergeCell ref="C13:C15"/>
    <mergeCell ref="D13:D15"/>
    <mergeCell ref="K13:K15"/>
    <mergeCell ref="M13:M15"/>
    <mergeCell ref="J27:L27"/>
    <mergeCell ref="D16:E16"/>
    <mergeCell ref="C17:C19"/>
    <mergeCell ref="D17:D19"/>
    <mergeCell ref="K17:K19"/>
    <mergeCell ref="D20:E20"/>
  </mergeCells>
  <pageMargins left="0.7" right="0.7" top="0.75" bottom="0.75" header="0.3" footer="0.3"/>
  <ignoredErrors>
    <ignoredError sqref="L8:L1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5274-1C24-45B6-AEAA-F93195EA9668}">
  <sheetPr codeName="Sheet9">
    <tabColor theme="5" tint="0.79998168889431442"/>
  </sheetPr>
  <dimension ref="B2:M29"/>
  <sheetViews>
    <sheetView workbookViewId="0">
      <selection activeCell="D28" sqref="D28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45444</v>
      </c>
      <c r="F5" s="9">
        <v>78</v>
      </c>
      <c r="G5" s="10">
        <v>12300</v>
      </c>
      <c r="H5" s="11">
        <v>0</v>
      </c>
      <c r="I5" s="12">
        <v>12300</v>
      </c>
      <c r="J5" s="11">
        <v>0</v>
      </c>
      <c r="K5" s="66">
        <v>45536</v>
      </c>
      <c r="L5" s="13">
        <f>SUM(H5*1.2)</f>
        <v>0</v>
      </c>
      <c r="M5" s="57">
        <f>SUM(H5:H7)*0.5</f>
        <v>6750</v>
      </c>
    </row>
    <row r="6" spans="2:13" s="7" customFormat="1" ht="14.1" customHeight="1" x14ac:dyDescent="0.2">
      <c r="B6" s="71"/>
      <c r="C6" s="61"/>
      <c r="D6" s="64"/>
      <c r="E6" s="14">
        <v>45474</v>
      </c>
      <c r="F6" s="15">
        <v>97</v>
      </c>
      <c r="G6" s="16">
        <v>15300</v>
      </c>
      <c r="H6" s="17">
        <v>2250</v>
      </c>
      <c r="I6" s="18">
        <v>15300</v>
      </c>
      <c r="J6" s="17">
        <v>0</v>
      </c>
      <c r="K6" s="67"/>
      <c r="L6" s="19">
        <f>SUM(H6*1.2)</f>
        <v>2700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45505</v>
      </c>
      <c r="F7" s="21">
        <v>84</v>
      </c>
      <c r="G7" s="22">
        <v>13200</v>
      </c>
      <c r="H7" s="23">
        <v>11250</v>
      </c>
      <c r="I7" s="24">
        <v>11250</v>
      </c>
      <c r="J7" s="23">
        <v>1950</v>
      </c>
      <c r="K7" s="68"/>
      <c r="L7" s="25">
        <f>SUM(H7*1.2)</f>
        <v>13500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13500</v>
      </c>
      <c r="I8" s="30"/>
      <c r="J8" s="29"/>
      <c r="K8" s="31"/>
      <c r="L8" s="32">
        <f>SUM(L5:L7)</f>
        <v>16200</v>
      </c>
      <c r="M8" s="33">
        <f>SUM(M5:M7)</f>
        <v>6750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45444</v>
      </c>
      <c r="F9" s="9">
        <v>5283</v>
      </c>
      <c r="G9" s="10">
        <v>1447150</v>
      </c>
      <c r="H9" s="11">
        <f>10050-10050</f>
        <v>0</v>
      </c>
      <c r="I9" s="12">
        <v>1436950</v>
      </c>
      <c r="J9" s="11">
        <v>10200</v>
      </c>
      <c r="K9" s="66">
        <v>45536</v>
      </c>
      <c r="L9" s="13">
        <f>SUM(H9*1.2)</f>
        <v>0</v>
      </c>
      <c r="M9" s="57">
        <f>SUM(H9:H11)*0.5</f>
        <v>651075</v>
      </c>
    </row>
    <row r="10" spans="2:13" s="7" customFormat="1" ht="14.1" customHeight="1" x14ac:dyDescent="0.2">
      <c r="B10" s="71"/>
      <c r="C10" s="61"/>
      <c r="D10" s="64"/>
      <c r="E10" s="14">
        <v>45474</v>
      </c>
      <c r="F10" s="15">
        <v>4988</v>
      </c>
      <c r="G10" s="16">
        <v>1366400</v>
      </c>
      <c r="H10" s="17">
        <f>285700-700-1250</f>
        <v>283750</v>
      </c>
      <c r="I10" s="18">
        <v>1342450</v>
      </c>
      <c r="J10" s="17">
        <v>23950</v>
      </c>
      <c r="K10" s="67"/>
      <c r="L10" s="19">
        <f>SUM(H10*1.2)</f>
        <v>340500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45505</v>
      </c>
      <c r="F11" s="21">
        <v>4721</v>
      </c>
      <c r="G11" s="22">
        <v>1293550</v>
      </c>
      <c r="H11" s="23">
        <f>1019300-900</f>
        <v>1018400</v>
      </c>
      <c r="I11" s="24">
        <v>1019300</v>
      </c>
      <c r="J11" s="23">
        <v>274250</v>
      </c>
      <c r="K11" s="68"/>
      <c r="L11" s="25">
        <f>SUM(H11*1.2)</f>
        <v>1222080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1302150</v>
      </c>
      <c r="I12" s="30"/>
      <c r="J12" s="29"/>
      <c r="K12" s="31"/>
      <c r="L12" s="32">
        <f>SUM(L9:L11)</f>
        <v>1562580</v>
      </c>
      <c r="M12" s="33">
        <f>SUM(M9:M11)</f>
        <v>651075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45444</v>
      </c>
      <c r="F13" s="9">
        <v>5608</v>
      </c>
      <c r="G13" s="10">
        <v>2336666.69</v>
      </c>
      <c r="H13" s="11">
        <f>21666.67-2500.02</f>
        <v>19166.649999999998</v>
      </c>
      <c r="I13" s="12">
        <v>2299583.35</v>
      </c>
      <c r="J13" s="11">
        <v>37083.33</v>
      </c>
      <c r="K13" s="66">
        <v>45536</v>
      </c>
      <c r="L13" s="13">
        <f>SUM(H13*1.2)</f>
        <v>22999.979999999996</v>
      </c>
      <c r="M13" s="57">
        <f>SUM(H13:H15)*0.4</f>
        <v>777333.32400000002</v>
      </c>
    </row>
    <row r="14" spans="2:13" s="7" customFormat="1" ht="14.1" customHeight="1" x14ac:dyDescent="0.2">
      <c r="B14" s="71"/>
      <c r="C14" s="61"/>
      <c r="D14" s="64"/>
      <c r="E14" s="14">
        <v>45474</v>
      </c>
      <c r="F14" s="15">
        <v>4795</v>
      </c>
      <c r="G14" s="16">
        <v>1997916.68</v>
      </c>
      <c r="H14" s="17">
        <f>340000-1250.01</f>
        <v>338749.99</v>
      </c>
      <c r="I14" s="18">
        <v>1947500.02</v>
      </c>
      <c r="J14" s="17">
        <v>50416.67</v>
      </c>
      <c r="K14" s="67"/>
      <c r="L14" s="19">
        <f>SUM(H14*1.2)</f>
        <v>406499.98799999995</v>
      </c>
      <c r="M14" s="58"/>
    </row>
    <row r="15" spans="2:13" s="7" customFormat="1" ht="14.1" customHeight="1" thickBot="1" x14ac:dyDescent="0.25">
      <c r="B15" s="71"/>
      <c r="C15" s="62"/>
      <c r="D15" s="65"/>
      <c r="E15" s="20">
        <v>45505</v>
      </c>
      <c r="F15" s="21">
        <v>4783</v>
      </c>
      <c r="G15" s="22">
        <v>1992916.68</v>
      </c>
      <c r="H15" s="23">
        <f>1586250.01-833.34</f>
        <v>1585416.67</v>
      </c>
      <c r="I15" s="24">
        <v>1586250.01</v>
      </c>
      <c r="J15" s="23">
        <v>406666.67</v>
      </c>
      <c r="K15" s="68"/>
      <c r="L15" s="25">
        <f>SUM(H15*1.2)</f>
        <v>1902500.0039999997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1943333.31</v>
      </c>
      <c r="I16" s="30"/>
      <c r="J16" s="29"/>
      <c r="K16" s="31"/>
      <c r="L16" s="32">
        <f>SUM(L13:L15)</f>
        <v>2331999.9719999996</v>
      </c>
      <c r="M16" s="33">
        <f>SUM(M13:M15)</f>
        <v>777333.32400000002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8">
        <v>45444</v>
      </c>
      <c r="F17" s="9">
        <v>513</v>
      </c>
      <c r="G17" s="10">
        <v>213750</v>
      </c>
      <c r="H17" s="11">
        <v>1250</v>
      </c>
      <c r="I17" s="12">
        <v>208333.34</v>
      </c>
      <c r="J17" s="11">
        <v>5416.67</v>
      </c>
      <c r="K17" s="66">
        <v>45536</v>
      </c>
      <c r="L17" s="13">
        <f>SUM(H17*1.2)</f>
        <v>1500</v>
      </c>
      <c r="M17" s="57">
        <f>SUM(H17:H19)*0.3</f>
        <v>277498.74299999996</v>
      </c>
    </row>
    <row r="18" spans="2:13" s="7" customFormat="1" ht="14.1" customHeight="1" x14ac:dyDescent="0.2">
      <c r="B18" s="71"/>
      <c r="C18" s="61"/>
      <c r="D18" s="64"/>
      <c r="E18" s="14">
        <v>45474</v>
      </c>
      <c r="F18" s="15">
        <v>1407</v>
      </c>
      <c r="G18" s="16">
        <v>557655</v>
      </c>
      <c r="H18" s="17">
        <f>87815-416.67</f>
        <v>87398.33</v>
      </c>
      <c r="I18" s="18">
        <v>543824.17000000004</v>
      </c>
      <c r="J18" s="17">
        <v>13830.83</v>
      </c>
      <c r="K18" s="67"/>
      <c r="L18" s="19">
        <f>SUM(H18*1.2)</f>
        <v>104877.996</v>
      </c>
      <c r="M18" s="58"/>
    </row>
    <row r="19" spans="2:13" s="7" customFormat="1" ht="14.1" customHeight="1" thickBot="1" x14ac:dyDescent="0.25">
      <c r="B19" s="72"/>
      <c r="C19" s="62"/>
      <c r="D19" s="65"/>
      <c r="E19" s="20">
        <v>45505</v>
      </c>
      <c r="F19" s="21">
        <v>3227</v>
      </c>
      <c r="G19" s="22">
        <v>1026025</v>
      </c>
      <c r="H19" s="23">
        <f>838847.5-2500.02</f>
        <v>836347.48</v>
      </c>
      <c r="I19" s="24">
        <v>838847.5</v>
      </c>
      <c r="J19" s="23">
        <v>187177.5</v>
      </c>
      <c r="K19" s="68"/>
      <c r="L19" s="25">
        <f>SUM(H19*1.2)</f>
        <v>1003616.9759999999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924995.80999999994</v>
      </c>
      <c r="I20" s="30"/>
      <c r="J20" s="29"/>
      <c r="K20" s="31"/>
      <c r="L20" s="32">
        <f>SUM(L17:L19)</f>
        <v>1109994.9719999998</v>
      </c>
      <c r="M20" s="33">
        <f>SUM(M17:M19)</f>
        <v>277498.74299999996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B2:M2"/>
    <mergeCell ref="B5:B19"/>
    <mergeCell ref="C5:C7"/>
    <mergeCell ref="D5:D7"/>
    <mergeCell ref="K5:K7"/>
    <mergeCell ref="M5:M7"/>
    <mergeCell ref="D8:E8"/>
    <mergeCell ref="C9:C11"/>
    <mergeCell ref="D9:D11"/>
    <mergeCell ref="K9:K11"/>
    <mergeCell ref="M17:M19"/>
    <mergeCell ref="M9:M11"/>
    <mergeCell ref="D12:E12"/>
    <mergeCell ref="C13:C15"/>
    <mergeCell ref="D13:D15"/>
    <mergeCell ref="K13:K15"/>
    <mergeCell ref="M13:M15"/>
    <mergeCell ref="J27:L27"/>
    <mergeCell ref="D16:E16"/>
    <mergeCell ref="C17:C19"/>
    <mergeCell ref="D17:D19"/>
    <mergeCell ref="K17:K19"/>
    <mergeCell ref="D20:E20"/>
  </mergeCells>
  <pageMargins left="0.7" right="0.7" top="0.75" bottom="0.75" header="0.3" footer="0.3"/>
  <ignoredErrors>
    <ignoredError sqref="L8:L1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4C53-2BCF-420D-AE12-DE0F13DC0BB4}">
  <sheetPr codeName="Sheet10">
    <tabColor theme="5" tint="0.79998168889431442"/>
  </sheetPr>
  <dimension ref="B2:M29"/>
  <sheetViews>
    <sheetView workbookViewId="0">
      <selection activeCell="K9" sqref="K9:K11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8">
        <v>45444</v>
      </c>
      <c r="F5" s="9">
        <v>78</v>
      </c>
      <c r="G5" s="10">
        <v>12300</v>
      </c>
      <c r="H5" s="11">
        <v>0</v>
      </c>
      <c r="I5" s="12">
        <v>12300</v>
      </c>
      <c r="J5" s="11">
        <v>0</v>
      </c>
      <c r="K5" s="88">
        <v>45536</v>
      </c>
      <c r="L5" s="13">
        <f>SUM(H5*1.2)</f>
        <v>0</v>
      </c>
      <c r="M5" s="57">
        <f>SUM(H5:H7)*0.5</f>
        <v>6750</v>
      </c>
    </row>
    <row r="6" spans="2:13" s="7" customFormat="1" ht="14.1" customHeight="1" x14ac:dyDescent="0.2">
      <c r="B6" s="71"/>
      <c r="C6" s="61"/>
      <c r="D6" s="64"/>
      <c r="E6" s="14">
        <v>45474</v>
      </c>
      <c r="F6" s="15">
        <v>97</v>
      </c>
      <c r="G6" s="16">
        <v>15300</v>
      </c>
      <c r="H6" s="17">
        <v>2250</v>
      </c>
      <c r="I6" s="18">
        <v>15300</v>
      </c>
      <c r="J6" s="17">
        <v>0</v>
      </c>
      <c r="K6" s="89"/>
      <c r="L6" s="19">
        <f>SUM(H6*1.2)</f>
        <v>2700</v>
      </c>
      <c r="M6" s="58"/>
    </row>
    <row r="7" spans="2:13" s="7" customFormat="1" ht="14.1" customHeight="1" thickBot="1" x14ac:dyDescent="0.25">
      <c r="B7" s="71"/>
      <c r="C7" s="62"/>
      <c r="D7" s="65"/>
      <c r="E7" s="20">
        <v>45505</v>
      </c>
      <c r="F7" s="21">
        <v>84</v>
      </c>
      <c r="G7" s="22">
        <v>13200</v>
      </c>
      <c r="H7" s="23">
        <v>11250</v>
      </c>
      <c r="I7" s="24">
        <v>11250</v>
      </c>
      <c r="J7" s="23">
        <v>1950</v>
      </c>
      <c r="K7" s="90"/>
      <c r="L7" s="25">
        <f>SUM(H7*1.2)</f>
        <v>13500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13500</v>
      </c>
      <c r="I8" s="30"/>
      <c r="J8" s="29"/>
      <c r="K8" s="31"/>
      <c r="L8" s="32">
        <f>SUM(L5:L7)</f>
        <v>16200</v>
      </c>
      <c r="M8" s="33">
        <f>SUM(M5:M7)</f>
        <v>6750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8">
        <v>45444</v>
      </c>
      <c r="F9" s="9">
        <v>5283</v>
      </c>
      <c r="G9" s="10">
        <v>1447150</v>
      </c>
      <c r="H9" s="11">
        <f>10050-10050</f>
        <v>0</v>
      </c>
      <c r="I9" s="12">
        <v>1436950</v>
      </c>
      <c r="J9" s="11">
        <v>10200</v>
      </c>
      <c r="K9" s="88">
        <v>45536</v>
      </c>
      <c r="L9" s="13">
        <f>SUM(H9*1.2)</f>
        <v>0</v>
      </c>
      <c r="M9" s="57">
        <f>SUM(H9:H11)*0.5</f>
        <v>651075</v>
      </c>
    </row>
    <row r="10" spans="2:13" s="7" customFormat="1" ht="14.1" customHeight="1" x14ac:dyDescent="0.2">
      <c r="B10" s="71"/>
      <c r="C10" s="61"/>
      <c r="D10" s="64"/>
      <c r="E10" s="14">
        <v>45474</v>
      </c>
      <c r="F10" s="15">
        <v>4988</v>
      </c>
      <c r="G10" s="16">
        <v>1366400</v>
      </c>
      <c r="H10" s="17">
        <f>285700-700-1250</f>
        <v>283750</v>
      </c>
      <c r="I10" s="18">
        <v>1342450</v>
      </c>
      <c r="J10" s="17">
        <v>23950</v>
      </c>
      <c r="K10" s="89"/>
      <c r="L10" s="19">
        <f>SUM(H10*1.2)</f>
        <v>340500</v>
      </c>
      <c r="M10" s="58"/>
    </row>
    <row r="11" spans="2:13" s="7" customFormat="1" ht="14.1" customHeight="1" thickBot="1" x14ac:dyDescent="0.25">
      <c r="B11" s="71"/>
      <c r="C11" s="62"/>
      <c r="D11" s="65"/>
      <c r="E11" s="20">
        <v>45505</v>
      </c>
      <c r="F11" s="21">
        <v>4721</v>
      </c>
      <c r="G11" s="22">
        <v>1293550</v>
      </c>
      <c r="H11" s="23">
        <f>1019300-900</f>
        <v>1018400</v>
      </c>
      <c r="I11" s="24">
        <v>1019300</v>
      </c>
      <c r="J11" s="23">
        <v>274250</v>
      </c>
      <c r="K11" s="90"/>
      <c r="L11" s="25">
        <f>SUM(H11*1.2)</f>
        <v>1222080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1302150</v>
      </c>
      <c r="I12" s="30"/>
      <c r="J12" s="29"/>
      <c r="K12" s="31"/>
      <c r="L12" s="32">
        <f>SUM(L9:L11)</f>
        <v>1562580</v>
      </c>
      <c r="M12" s="33">
        <f>SUM(M9:M11)</f>
        <v>651075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8">
        <v>45444</v>
      </c>
      <c r="F13" s="9">
        <v>5608</v>
      </c>
      <c r="G13" s="10">
        <v>2336666.69</v>
      </c>
      <c r="H13" s="11">
        <f>21666.67-2500.02</f>
        <v>19166.649999999998</v>
      </c>
      <c r="I13" s="12">
        <v>2299583.35</v>
      </c>
      <c r="J13" s="11">
        <v>37083.33</v>
      </c>
      <c r="K13" s="88">
        <v>45536</v>
      </c>
      <c r="L13" s="13">
        <f>SUM(H13*1.2)</f>
        <v>22999.979999999996</v>
      </c>
      <c r="M13" s="57">
        <f>SUM(H13:H15)*0.4</f>
        <v>777333.32400000002</v>
      </c>
    </row>
    <row r="14" spans="2:13" s="7" customFormat="1" ht="14.1" customHeight="1" x14ac:dyDescent="0.2">
      <c r="B14" s="71"/>
      <c r="C14" s="61"/>
      <c r="D14" s="64"/>
      <c r="E14" s="14">
        <v>45474</v>
      </c>
      <c r="F14" s="15">
        <v>4795</v>
      </c>
      <c r="G14" s="16">
        <v>1997916.68</v>
      </c>
      <c r="H14" s="17">
        <f>340000-1250.01</f>
        <v>338749.99</v>
      </c>
      <c r="I14" s="18">
        <v>1947500.02</v>
      </c>
      <c r="J14" s="17">
        <v>50416.67</v>
      </c>
      <c r="K14" s="89"/>
      <c r="L14" s="19">
        <f>SUM(H14*1.2)</f>
        <v>406499.98799999995</v>
      </c>
      <c r="M14" s="58"/>
    </row>
    <row r="15" spans="2:13" s="7" customFormat="1" ht="14.1" customHeight="1" thickBot="1" x14ac:dyDescent="0.25">
      <c r="B15" s="71"/>
      <c r="C15" s="62"/>
      <c r="D15" s="65"/>
      <c r="E15" s="20">
        <v>45505</v>
      </c>
      <c r="F15" s="21">
        <v>4783</v>
      </c>
      <c r="G15" s="22">
        <v>1992916.68</v>
      </c>
      <c r="H15" s="23">
        <f>1586250.01-833.34</f>
        <v>1585416.67</v>
      </c>
      <c r="I15" s="24">
        <v>1586250.01</v>
      </c>
      <c r="J15" s="23">
        <v>406666.67</v>
      </c>
      <c r="K15" s="90"/>
      <c r="L15" s="25">
        <f>SUM(H15*1.2)</f>
        <v>1902500.0039999997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1943333.31</v>
      </c>
      <c r="I16" s="30"/>
      <c r="J16" s="29"/>
      <c r="K16" s="31"/>
      <c r="L16" s="32">
        <f>SUM(L13:L15)</f>
        <v>2331999.9719999996</v>
      </c>
      <c r="M16" s="33">
        <f>SUM(M13:M15)</f>
        <v>777333.32400000002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8">
        <v>45444</v>
      </c>
      <c r="F17" s="9">
        <v>513</v>
      </c>
      <c r="G17" s="10">
        <v>213750</v>
      </c>
      <c r="H17" s="11">
        <v>1250</v>
      </c>
      <c r="I17" s="12">
        <v>208333.34</v>
      </c>
      <c r="J17" s="11">
        <v>5416.67</v>
      </c>
      <c r="K17" s="88">
        <v>45536</v>
      </c>
      <c r="L17" s="13">
        <f>SUM(H17*1.2)</f>
        <v>1500</v>
      </c>
      <c r="M17" s="57">
        <f>SUM(H17:H19)*0.3</f>
        <v>277498.74299999996</v>
      </c>
    </row>
    <row r="18" spans="2:13" s="7" customFormat="1" ht="14.1" customHeight="1" x14ac:dyDescent="0.2">
      <c r="B18" s="71"/>
      <c r="C18" s="61"/>
      <c r="D18" s="64"/>
      <c r="E18" s="14">
        <v>45474</v>
      </c>
      <c r="F18" s="15">
        <v>1407</v>
      </c>
      <c r="G18" s="16">
        <v>557655</v>
      </c>
      <c r="H18" s="17">
        <f>87815-416.67</f>
        <v>87398.33</v>
      </c>
      <c r="I18" s="18">
        <v>543824.17000000004</v>
      </c>
      <c r="J18" s="17">
        <v>13830.83</v>
      </c>
      <c r="K18" s="89"/>
      <c r="L18" s="19">
        <f>SUM(H18*1.2)</f>
        <v>104877.996</v>
      </c>
      <c r="M18" s="58"/>
    </row>
    <row r="19" spans="2:13" s="7" customFormat="1" ht="14.1" customHeight="1" thickBot="1" x14ac:dyDescent="0.25">
      <c r="B19" s="72"/>
      <c r="C19" s="62"/>
      <c r="D19" s="65"/>
      <c r="E19" s="20">
        <v>45505</v>
      </c>
      <c r="F19" s="21">
        <v>3227</v>
      </c>
      <c r="G19" s="22">
        <v>1026025</v>
      </c>
      <c r="H19" s="23">
        <f>838847.5-2500.02</f>
        <v>836347.48</v>
      </c>
      <c r="I19" s="24">
        <v>838847.5</v>
      </c>
      <c r="J19" s="23">
        <v>187177.5</v>
      </c>
      <c r="K19" s="90"/>
      <c r="L19" s="25">
        <f>SUM(H19*1.2)</f>
        <v>1003616.9759999999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924995.80999999994</v>
      </c>
      <c r="I20" s="30"/>
      <c r="J20" s="29"/>
      <c r="K20" s="31"/>
      <c r="L20" s="32">
        <f>SUM(L17:L19)</f>
        <v>1109994.9719999998</v>
      </c>
      <c r="M20" s="33">
        <f>SUM(M17:M19)</f>
        <v>277498.74299999996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M13:M15"/>
    <mergeCell ref="J27:L27"/>
    <mergeCell ref="D16:E16"/>
    <mergeCell ref="C17:C19"/>
    <mergeCell ref="D17:D19"/>
    <mergeCell ref="K17:K19"/>
    <mergeCell ref="D20:E20"/>
    <mergeCell ref="B2:M2"/>
    <mergeCell ref="B5:B19"/>
    <mergeCell ref="C5:C7"/>
    <mergeCell ref="D5:D7"/>
    <mergeCell ref="K5:K7"/>
    <mergeCell ref="M5:M7"/>
    <mergeCell ref="D8:E8"/>
    <mergeCell ref="C9:C11"/>
    <mergeCell ref="D9:D11"/>
    <mergeCell ref="K9:K11"/>
    <mergeCell ref="M17:M19"/>
    <mergeCell ref="M9:M11"/>
    <mergeCell ref="D12:E12"/>
    <mergeCell ref="C13:C15"/>
    <mergeCell ref="D13:D15"/>
    <mergeCell ref="K13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90CA-AEE0-4898-BF48-541DB812126C}">
  <sheetPr>
    <tabColor theme="5" tint="0.79998168889431442"/>
  </sheetPr>
  <dimension ref="B2:M29"/>
  <sheetViews>
    <sheetView tabSelected="1" workbookViewId="0">
      <selection activeCell="F5" sqref="F5:J19"/>
    </sheetView>
  </sheetViews>
  <sheetFormatPr defaultRowHeight="12.75" x14ac:dyDescent="0.2"/>
  <cols>
    <col min="2" max="2" width="19.5703125" bestFit="1" customWidth="1"/>
    <col min="3" max="3" width="20.7109375" customWidth="1"/>
    <col min="4" max="4" width="19.5703125" customWidth="1"/>
    <col min="5" max="11" width="12.7109375" customWidth="1"/>
    <col min="12" max="12" width="14.85546875" customWidth="1"/>
    <col min="13" max="13" width="17.5703125" bestFit="1" customWidth="1"/>
  </cols>
  <sheetData>
    <row r="2" spans="2:13" ht="23.25" customHeight="1" x14ac:dyDescent="0.2">
      <c r="B2" s="69" t="s">
        <v>39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13.5" thickBot="1" x14ac:dyDescent="0.25"/>
    <row r="4" spans="2:13" ht="48.75" customHeight="1" thickBot="1" x14ac:dyDescent="0.25">
      <c r="B4" s="3" t="s">
        <v>2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5" t="s">
        <v>12</v>
      </c>
      <c r="I4" s="4" t="s">
        <v>0</v>
      </c>
      <c r="J4" s="5" t="s">
        <v>11</v>
      </c>
      <c r="K4" s="4" t="s">
        <v>9</v>
      </c>
      <c r="L4" s="5" t="s">
        <v>10</v>
      </c>
      <c r="M4" s="6" t="s">
        <v>13</v>
      </c>
    </row>
    <row r="5" spans="2:13" s="7" customFormat="1" ht="14.1" customHeight="1" x14ac:dyDescent="0.2">
      <c r="B5" s="70" t="s">
        <v>17</v>
      </c>
      <c r="C5" s="60" t="s">
        <v>18</v>
      </c>
      <c r="D5" s="63" t="s">
        <v>19</v>
      </c>
      <c r="E5" s="91" t="s">
        <v>35</v>
      </c>
      <c r="F5" s="9">
        <v>80</v>
      </c>
      <c r="G5" s="10">
        <v>12600</v>
      </c>
      <c r="H5" s="11">
        <v>0</v>
      </c>
      <c r="I5" s="12">
        <v>12600</v>
      </c>
      <c r="J5" s="11">
        <v>0</v>
      </c>
      <c r="K5" s="93" t="s">
        <v>38</v>
      </c>
      <c r="L5" s="13">
        <f>SUM(H5*1.2)</f>
        <v>0</v>
      </c>
      <c r="M5" s="57">
        <f>SUM(H5:H7)*0.5</f>
        <v>3225</v>
      </c>
    </row>
    <row r="6" spans="2:13" s="7" customFormat="1" ht="14.1" customHeight="1" x14ac:dyDescent="0.2">
      <c r="B6" s="71"/>
      <c r="C6" s="61"/>
      <c r="D6" s="64"/>
      <c r="E6" s="42" t="s">
        <v>36</v>
      </c>
      <c r="F6" s="15">
        <v>88</v>
      </c>
      <c r="G6" s="16">
        <v>13950</v>
      </c>
      <c r="H6" s="17">
        <v>2250</v>
      </c>
      <c r="I6" s="18">
        <v>13950</v>
      </c>
      <c r="J6" s="17">
        <v>0</v>
      </c>
      <c r="K6" s="94"/>
      <c r="L6" s="19">
        <f>SUM(H6*1.2)</f>
        <v>2700</v>
      </c>
      <c r="M6" s="58"/>
    </row>
    <row r="7" spans="2:13" s="7" customFormat="1" ht="14.1" customHeight="1" thickBot="1" x14ac:dyDescent="0.25">
      <c r="B7" s="71"/>
      <c r="C7" s="62"/>
      <c r="D7" s="65"/>
      <c r="E7" s="92" t="s">
        <v>37</v>
      </c>
      <c r="F7" s="21">
        <v>31</v>
      </c>
      <c r="G7" s="22">
        <v>4950</v>
      </c>
      <c r="H7" s="23">
        <v>4200</v>
      </c>
      <c r="I7" s="24">
        <v>4200</v>
      </c>
      <c r="J7" s="23">
        <v>750</v>
      </c>
      <c r="K7" s="95"/>
      <c r="L7" s="25">
        <f>SUM(H7*1.2)</f>
        <v>5040</v>
      </c>
      <c r="M7" s="59"/>
    </row>
    <row r="8" spans="2:13" s="7" customFormat="1" ht="13.5" customHeight="1" thickBot="1" x14ac:dyDescent="0.25">
      <c r="B8" s="71"/>
      <c r="C8" s="26"/>
      <c r="D8" s="54" t="s">
        <v>20</v>
      </c>
      <c r="E8" s="55"/>
      <c r="F8" s="27"/>
      <c r="G8" s="28"/>
      <c r="H8" s="29">
        <f>SUM(H5:H7)</f>
        <v>6450</v>
      </c>
      <c r="I8" s="30"/>
      <c r="J8" s="29"/>
      <c r="K8" s="31"/>
      <c r="L8" s="32">
        <f>SUM(L5:L7)</f>
        <v>7740</v>
      </c>
      <c r="M8" s="33">
        <f>SUM(M5:M7)</f>
        <v>3225</v>
      </c>
    </row>
    <row r="9" spans="2:13" s="7" customFormat="1" ht="14.1" customHeight="1" x14ac:dyDescent="0.2">
      <c r="B9" s="71"/>
      <c r="C9" s="60" t="s">
        <v>21</v>
      </c>
      <c r="D9" s="63" t="s">
        <v>22</v>
      </c>
      <c r="E9" s="91" t="s">
        <v>35</v>
      </c>
      <c r="F9" s="9">
        <v>4225</v>
      </c>
      <c r="G9" s="10">
        <v>1156300</v>
      </c>
      <c r="H9" s="11">
        <v>10200</v>
      </c>
      <c r="I9" s="12">
        <v>1138300</v>
      </c>
      <c r="J9" s="11">
        <v>18000</v>
      </c>
      <c r="K9" s="93" t="s">
        <v>38</v>
      </c>
      <c r="L9" s="13">
        <f>SUM(H9*1.2)</f>
        <v>12240</v>
      </c>
      <c r="M9" s="57">
        <f>SUM(H9:H11)*0.5</f>
        <v>872272.495</v>
      </c>
    </row>
    <row r="10" spans="2:13" s="7" customFormat="1" ht="14.1" customHeight="1" x14ac:dyDescent="0.2">
      <c r="B10" s="71"/>
      <c r="C10" s="61"/>
      <c r="D10" s="64"/>
      <c r="E10" s="42" t="s">
        <v>36</v>
      </c>
      <c r="F10" s="15">
        <v>4016</v>
      </c>
      <c r="G10" s="16">
        <v>1098400</v>
      </c>
      <c r="H10" s="17">
        <v>206950</v>
      </c>
      <c r="I10" s="18">
        <v>1080950</v>
      </c>
      <c r="J10" s="17">
        <v>17450</v>
      </c>
      <c r="K10" s="94"/>
      <c r="L10" s="19">
        <f>SUM(H10*1.2)</f>
        <v>248340</v>
      </c>
      <c r="M10" s="58"/>
    </row>
    <row r="11" spans="2:13" s="7" customFormat="1" ht="14.1" customHeight="1" thickBot="1" x14ac:dyDescent="0.25">
      <c r="B11" s="71"/>
      <c r="C11" s="62"/>
      <c r="D11" s="65"/>
      <c r="E11" s="92" t="s">
        <v>37</v>
      </c>
      <c r="F11" s="21">
        <v>8681</v>
      </c>
      <c r="G11" s="22">
        <v>1839646.65</v>
      </c>
      <c r="H11" s="23">
        <v>1527394.99</v>
      </c>
      <c r="I11" s="24">
        <v>1527394.99</v>
      </c>
      <c r="J11" s="23">
        <v>312251.65999999997</v>
      </c>
      <c r="K11" s="95"/>
      <c r="L11" s="25">
        <f>SUM(H11*1.2)</f>
        <v>1832873.9879999999</v>
      </c>
      <c r="M11" s="59"/>
    </row>
    <row r="12" spans="2:13" s="7" customFormat="1" ht="13.5" customHeight="1" thickBot="1" x14ac:dyDescent="0.25">
      <c r="B12" s="71"/>
      <c r="C12" s="26"/>
      <c r="D12" s="54" t="s">
        <v>20</v>
      </c>
      <c r="E12" s="55"/>
      <c r="F12" s="27"/>
      <c r="G12" s="28"/>
      <c r="H12" s="29">
        <f>SUM(H9:H11)</f>
        <v>1744544.99</v>
      </c>
      <c r="I12" s="30"/>
      <c r="J12" s="29"/>
      <c r="K12" s="31"/>
      <c r="L12" s="32">
        <f>SUM(L9:L11)</f>
        <v>2093453.9879999999</v>
      </c>
      <c r="M12" s="33">
        <f>SUM(M9:M11)</f>
        <v>872272.495</v>
      </c>
    </row>
    <row r="13" spans="2:13" s="7" customFormat="1" ht="14.1" customHeight="1" x14ac:dyDescent="0.2">
      <c r="B13" s="71"/>
      <c r="C13" s="60" t="s">
        <v>23</v>
      </c>
      <c r="D13" s="63" t="s">
        <v>24</v>
      </c>
      <c r="E13" s="91" t="s">
        <v>35</v>
      </c>
      <c r="F13" s="9">
        <v>4336</v>
      </c>
      <c r="G13" s="10">
        <v>1806666.68</v>
      </c>
      <c r="H13" s="11">
        <v>17083.330000000002</v>
      </c>
      <c r="I13" s="12">
        <v>1787083.35</v>
      </c>
      <c r="J13" s="11">
        <v>19583.330000000002</v>
      </c>
      <c r="K13" s="93" t="s">
        <v>38</v>
      </c>
      <c r="L13" s="13">
        <f>SUM(H13*1.2)</f>
        <v>20499.996000000003</v>
      </c>
      <c r="M13" s="57">
        <f>SUM(H13:H15)*0.4</f>
        <v>709500.00400000007</v>
      </c>
    </row>
    <row r="14" spans="2:13" s="7" customFormat="1" ht="14.1" customHeight="1" x14ac:dyDescent="0.2">
      <c r="B14" s="71"/>
      <c r="C14" s="61"/>
      <c r="D14" s="64"/>
      <c r="E14" s="42" t="s">
        <v>36</v>
      </c>
      <c r="F14" s="15">
        <v>4182</v>
      </c>
      <c r="G14" s="16">
        <v>1742500.01</v>
      </c>
      <c r="H14" s="17">
        <v>332916.67</v>
      </c>
      <c r="I14" s="18">
        <v>1716250.01</v>
      </c>
      <c r="J14" s="17">
        <v>26250</v>
      </c>
      <c r="K14" s="94"/>
      <c r="L14" s="19">
        <f>SUM(H14*1.2)</f>
        <v>399500.00399999996</v>
      </c>
      <c r="M14" s="58"/>
    </row>
    <row r="15" spans="2:13" s="7" customFormat="1" ht="14.1" customHeight="1" thickBot="1" x14ac:dyDescent="0.25">
      <c r="B15" s="71"/>
      <c r="C15" s="62"/>
      <c r="D15" s="65"/>
      <c r="E15" s="92" t="s">
        <v>37</v>
      </c>
      <c r="F15" s="21">
        <v>4057</v>
      </c>
      <c r="G15" s="22">
        <v>1690416.68</v>
      </c>
      <c r="H15" s="23">
        <v>1423750.01</v>
      </c>
      <c r="I15" s="24">
        <v>1423750.01</v>
      </c>
      <c r="J15" s="23">
        <v>266666.67</v>
      </c>
      <c r="K15" s="95"/>
      <c r="L15" s="25">
        <f>SUM(H15*1.2)</f>
        <v>1708500.0119999999</v>
      </c>
      <c r="M15" s="59"/>
    </row>
    <row r="16" spans="2:13" s="7" customFormat="1" ht="13.5" customHeight="1" thickBot="1" x14ac:dyDescent="0.25">
      <c r="B16" s="71"/>
      <c r="C16" s="26"/>
      <c r="D16" s="54" t="s">
        <v>20</v>
      </c>
      <c r="E16" s="55"/>
      <c r="F16" s="27"/>
      <c r="G16" s="28"/>
      <c r="H16" s="29">
        <f>SUM(H13:H15)</f>
        <v>1773750.01</v>
      </c>
      <c r="I16" s="30"/>
      <c r="J16" s="29"/>
      <c r="K16" s="31"/>
      <c r="L16" s="32">
        <f>SUM(L13:L15)</f>
        <v>2128500.0119999996</v>
      </c>
      <c r="M16" s="33">
        <f>SUM(M13:M15)</f>
        <v>709500.00400000007</v>
      </c>
    </row>
    <row r="17" spans="2:13" s="7" customFormat="1" ht="14.1" customHeight="1" x14ac:dyDescent="0.2">
      <c r="B17" s="71"/>
      <c r="C17" s="60" t="s">
        <v>21</v>
      </c>
      <c r="D17" s="63" t="s">
        <v>31</v>
      </c>
      <c r="E17" s="91" t="s">
        <v>35</v>
      </c>
      <c r="F17" s="9">
        <v>0</v>
      </c>
      <c r="G17" s="10">
        <v>0</v>
      </c>
      <c r="H17" s="11">
        <v>0</v>
      </c>
      <c r="I17" s="12">
        <v>0</v>
      </c>
      <c r="J17" s="11">
        <v>0</v>
      </c>
      <c r="K17" s="93" t="s">
        <v>38</v>
      </c>
      <c r="L17" s="13">
        <f>SUM(H17*1.2)</f>
        <v>0</v>
      </c>
      <c r="M17" s="57">
        <f>SUM(H17:H19)*0.3</f>
        <v>0</v>
      </c>
    </row>
    <row r="18" spans="2:13" s="7" customFormat="1" ht="14.1" customHeight="1" x14ac:dyDescent="0.2">
      <c r="B18" s="71"/>
      <c r="C18" s="61"/>
      <c r="D18" s="64"/>
      <c r="E18" s="42" t="s">
        <v>36</v>
      </c>
      <c r="F18" s="15">
        <v>0</v>
      </c>
      <c r="G18" s="16">
        <v>0</v>
      </c>
      <c r="H18" s="17">
        <v>0</v>
      </c>
      <c r="I18" s="18">
        <v>0</v>
      </c>
      <c r="J18" s="17">
        <v>0</v>
      </c>
      <c r="K18" s="94"/>
      <c r="L18" s="19">
        <f>SUM(H18*1.2)</f>
        <v>0</v>
      </c>
      <c r="M18" s="58"/>
    </row>
    <row r="19" spans="2:13" s="7" customFormat="1" ht="14.1" customHeight="1" thickBot="1" x14ac:dyDescent="0.25">
      <c r="B19" s="72"/>
      <c r="C19" s="62"/>
      <c r="D19" s="65"/>
      <c r="E19" s="92" t="s">
        <v>37</v>
      </c>
      <c r="F19" s="21">
        <v>0</v>
      </c>
      <c r="G19" s="22">
        <v>0</v>
      </c>
      <c r="H19" s="23">
        <v>0</v>
      </c>
      <c r="I19" s="24">
        <v>0</v>
      </c>
      <c r="J19" s="23">
        <v>0</v>
      </c>
      <c r="K19" s="95"/>
      <c r="L19" s="25">
        <f>SUM(H19*1.2)</f>
        <v>0</v>
      </c>
      <c r="M19" s="59"/>
    </row>
    <row r="20" spans="2:13" s="7" customFormat="1" ht="13.5" customHeight="1" thickBot="1" x14ac:dyDescent="0.25">
      <c r="B20" s="34"/>
      <c r="C20" s="26"/>
      <c r="D20" s="54" t="s">
        <v>20</v>
      </c>
      <c r="E20" s="55"/>
      <c r="F20" s="27"/>
      <c r="G20" s="28"/>
      <c r="H20" s="29">
        <f>SUM(H17:H19)</f>
        <v>0</v>
      </c>
      <c r="I20" s="30"/>
      <c r="J20" s="29"/>
      <c r="K20" s="31"/>
      <c r="L20" s="32">
        <f>SUM(L17:L19)</f>
        <v>0</v>
      </c>
      <c r="M20" s="33">
        <f>SUM(M17:M19)</f>
        <v>0</v>
      </c>
    </row>
    <row r="24" spans="2:13" ht="15" x14ac:dyDescent="0.25">
      <c r="E24" s="1" t="s">
        <v>1</v>
      </c>
    </row>
    <row r="25" spans="2:13" ht="15" x14ac:dyDescent="0.25">
      <c r="E25" s="1" t="s">
        <v>14</v>
      </c>
    </row>
    <row r="26" spans="2:13" ht="15.75" thickBot="1" x14ac:dyDescent="0.3">
      <c r="E26" s="1" t="s">
        <v>15</v>
      </c>
      <c r="J26" s="2"/>
      <c r="K26" s="2"/>
      <c r="L26" s="2"/>
    </row>
    <row r="27" spans="2:13" ht="15" x14ac:dyDescent="0.25">
      <c r="E27" s="1" t="s">
        <v>16</v>
      </c>
      <c r="J27" s="56" t="s">
        <v>3</v>
      </c>
      <c r="K27" s="56"/>
      <c r="L27" s="56"/>
    </row>
    <row r="28" spans="2:13" ht="15" x14ac:dyDescent="0.25">
      <c r="F28" s="1"/>
    </row>
    <row r="29" spans="2:13" ht="15" x14ac:dyDescent="0.25">
      <c r="F29" s="1"/>
    </row>
  </sheetData>
  <mergeCells count="23">
    <mergeCell ref="J27:L27"/>
    <mergeCell ref="D16:E16"/>
    <mergeCell ref="C17:C19"/>
    <mergeCell ref="D17:D19"/>
    <mergeCell ref="K17:K19"/>
    <mergeCell ref="M17:M19"/>
    <mergeCell ref="D20:E20"/>
    <mergeCell ref="M9:M11"/>
    <mergeCell ref="D12:E12"/>
    <mergeCell ref="C13:C15"/>
    <mergeCell ref="D13:D15"/>
    <mergeCell ref="K13:K15"/>
    <mergeCell ref="M13:M15"/>
    <mergeCell ref="B2:M2"/>
    <mergeCell ref="B5:B19"/>
    <mergeCell ref="C5:C7"/>
    <mergeCell ref="D5:D7"/>
    <mergeCell ref="K5:K7"/>
    <mergeCell ref="M5:M7"/>
    <mergeCell ref="D8:E8"/>
    <mergeCell ref="C9:C11"/>
    <mergeCell ref="D9:D11"/>
    <mergeCell ref="K9:K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1b797534-40f2-4a92-ace6-666ed4216aa8</TitusGUID>
  <TitusMetadata xmlns="">eyJucyI6Imh0dHA6XC9cL3d3dy50aXR1cy5jb21cL25zXC9UZWxla29tIFNlcmJpYSIsInByb3BzIjpbeyJuIjoiS0xBU0lGSUtBQ0lKQSIsInZhbHMiOlt7InZhbHVlIjoiSW50ZXJubyJ9XX0seyJuIjoiUG9kS2xhc0Vrc3Rlcm5vIiwidmFscyI6W119XX0=</TitusMetadata>
</titus>
</file>

<file path=customXml/itemProps1.xml><?xml version="1.0" encoding="utf-8"?>
<ds:datastoreItem xmlns:ds="http://schemas.openxmlformats.org/officeDocument/2006/customXml" ds:itemID="{7434C24F-00C3-460C-ADE6-DA27FC83FCC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11</vt:lpstr>
      <vt:lpstr>12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ivanasi</dc:creator>
  <cp:keywords>Klasifikacija: INTERNO</cp:keywords>
  <cp:lastModifiedBy>Nikola Jovanović</cp:lastModifiedBy>
  <cp:lastPrinted>2013-07-05T12:11:21Z</cp:lastPrinted>
  <dcterms:created xsi:type="dcterms:W3CDTF">2010-04-13T10:55:17Z</dcterms:created>
  <dcterms:modified xsi:type="dcterms:W3CDTF">2025-01-09T12:34:12Z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1b797534-40f2-4a92-ace6-666ed4216aa8</vt:lpwstr>
  </property>
  <property fmtid="{D5CDD505-2E9C-101B-9397-08002B2CF9AE}" pid="3" name="TelekomSerbiaKLASIFIKACIJA">
    <vt:lpwstr>Interno</vt:lpwstr>
  </property>
</Properties>
</file>